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Excel\GH\"/>
    </mc:Choice>
  </mc:AlternateContent>
  <xr:revisionPtr revIDLastSave="0" documentId="13_ncr:1_{A01EC50B-0B90-4937-AB5A-B5AC8E527DE9}" xr6:coauthVersionLast="47" xr6:coauthVersionMax="47" xr10:uidLastSave="{00000000-0000-0000-0000-000000000000}"/>
  <bookViews>
    <workbookView xWindow="-108" yWindow="-108" windowWidth="23256" windowHeight="12456" firstSheet="5" activeTab="7" xr2:uid="{DE4BB78B-B23C-4CE8-9A6A-2F33012050E0}"/>
  </bookViews>
  <sheets>
    <sheet name="Source" sheetId="1" r:id="rId1"/>
    <sheet name="2022 to 2023 value growthdrop" sheetId="7" r:id="rId2"/>
    <sheet name="Top manufacturer 2023 &amp; 2022" sheetId="2" r:id="rId3"/>
    <sheet name="Best-performing size" sheetId="3" r:id="rId4"/>
    <sheet name="Top 10-2022 to 2023 volume drop" sheetId="10" r:id="rId5"/>
    <sheet name="Sales by package type &amp; product" sheetId="11" r:id="rId6"/>
    <sheet name="Volume drop bwt 2023 to 2025" sheetId="8" r:id="rId7"/>
    <sheet name="Dashboard" sheetId="9" r:id="rId8"/>
  </sheets>
  <definedNames>
    <definedName name="_xlnm._FilterDatabase" localSheetId="0" hidden="1">Source!$A$1:$M$502</definedName>
    <definedName name="Slicer_Brand">#N/A</definedName>
    <definedName name="Slicer_Manufacturer">#N/A</definedName>
    <definedName name="Slicer_Package">#N/A</definedName>
    <definedName name="Slicer_Product_Attributes">#N/A</definedName>
    <definedName name="Slicer_Product_Description">#N/A</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alcChain>
</file>

<file path=xl/sharedStrings.xml><?xml version="1.0" encoding="utf-8"?>
<sst xmlns="http://schemas.openxmlformats.org/spreadsheetml/2006/main" count="2848" uniqueCount="775">
  <si>
    <t>BABY2000 CAMOMILLA W 20 BAG ABA SRL</t>
  </si>
  <si>
    <t>BAGS</t>
  </si>
  <si>
    <t>WITHOUT EXTRA PROTECTCARE INDICATION</t>
  </si>
  <si>
    <t>BAMBO NATURE W 80 BAG KAPAK</t>
  </si>
  <si>
    <t>BABY CREMA PLAY TIME CAMOMILE W 100 PINK</t>
  </si>
  <si>
    <t>PH BALANCED</t>
  </si>
  <si>
    <t>BABYCREMA PLAYTIME CAMOMILE W 100 ORANGE</t>
  </si>
  <si>
    <t>BABY CREMA CAMOMIL W 120 BAG KAPAK</t>
  </si>
  <si>
    <t>BABY CREMA ALOE 15 BAG</t>
  </si>
  <si>
    <t>BABY CREMA CAMOMIL W 15 BAG</t>
  </si>
  <si>
    <t>BABY CREMA PH5.5 W 3X15/1FR BAG &amp;&amp;&amp;</t>
  </si>
  <si>
    <t>BABY CREMA WATER 99% W 15 BAG</t>
  </si>
  <si>
    <t>ALCOHOL FREE</t>
  </si>
  <si>
    <t>BABY CREMA CAMOMIL W 40 BAG</t>
  </si>
  <si>
    <t>BABY CREMA COTTON&amp;PANTENOL W 4X56 BAG</t>
  </si>
  <si>
    <t>BABY CREMA COTTON&amp;PANTENOL W 56 BAG</t>
  </si>
  <si>
    <t>BABY CREMA ALOE 64 BAG</t>
  </si>
  <si>
    <t>BABY CREMA CAMOMIL W 64 BAG</t>
  </si>
  <si>
    <t>BABY CREMA PLAY TIME CAMOMIL W 64 BAG</t>
  </si>
  <si>
    <t>BABYCREMA CAMOMIL W 4X64 BAG SUPERTSENA</t>
  </si>
  <si>
    <t>BABY CREMA ALOE&amp;ALMOND OIL W 72 BAG</t>
  </si>
  <si>
    <t>BABY CREMA CAMOMIL&amp;ALMOND W 72 BAG</t>
  </si>
  <si>
    <t>BABY CREMA COTTON W 2X72BAG50%OT TS.VTOR</t>
  </si>
  <si>
    <t>BABY CREMA COTTON&amp;PANTENOL W 72 BAG</t>
  </si>
  <si>
    <t>BABY CREMA NEVEN PH5.5 W 72 BAG</t>
  </si>
  <si>
    <t>BABY CREMA SMRADLIKA PH5.5 W 72 BAG</t>
  </si>
  <si>
    <t>BABY CREMA WATER 99% W 72 BAG</t>
  </si>
  <si>
    <t>BABYCREMA CAMOMILE W 2X72BAG50%OTTS.VTOR</t>
  </si>
  <si>
    <t>BABYCREMA PLAYTIME CAMOMIL W 72 BAG KAPA</t>
  </si>
  <si>
    <t>BABY CREMA ALOE W 80 BAG</t>
  </si>
  <si>
    <t>BABY CREMA CAMOMIL W 80 BAG</t>
  </si>
  <si>
    <t>LINDY VITAMIN E PH5.5 W 120 BAG</t>
  </si>
  <si>
    <t>LINDY ALOE VERA&amp;VIT E W 64 BAG</t>
  </si>
  <si>
    <t>LINDY ALOE VERA&amp;VIT E W 64 BAG KAPAK</t>
  </si>
  <si>
    <t>LINDY CAMOMILE W 64 BAG</t>
  </si>
  <si>
    <t>LINDY CAMOMILE W 64 BAG KAPAK</t>
  </si>
  <si>
    <t>LINDY CREAM W 64 BAG KAPAK</t>
  </si>
  <si>
    <t>LINDY CREAM&amp;VIT.E PH5.5 W 64 BAG</t>
  </si>
  <si>
    <t>LINDY OLIVE OIL EXTR. PH5.5 W 64 BAG</t>
  </si>
  <si>
    <t>LINDY OLIVE OIL EXTR. W 64 BAG KAPAK</t>
  </si>
  <si>
    <t>LINDY SENSITIVE COTTON PH5.5 W 64 BAG</t>
  </si>
  <si>
    <t>SENSITIVE</t>
  </si>
  <si>
    <t>LINDY SENSITIVE W 64 BAG KAPAK</t>
  </si>
  <si>
    <t>LINDY WHITE TEA&amp;VIT E W 64 BAG</t>
  </si>
  <si>
    <t>LINDY PREMIUM LAVENDER W 90 BAG KAPAK</t>
  </si>
  <si>
    <t>HYPOALLERGENIC</t>
  </si>
  <si>
    <t>LUBA BABY B5&amp;VIT E PH5.5W 120 BAG</t>
  </si>
  <si>
    <t>LUBA BABY B5&amp;VIT E PH5.5 90 W BAG</t>
  </si>
  <si>
    <t>HUGGLO BABY PH5.5 W 120 BAG KAPAK</t>
  </si>
  <si>
    <t>PAPILION BABY ALOE VERA W 100 BAG KAPAK</t>
  </si>
  <si>
    <t>PAPILION BABY SENSITIVE W 100 BAG KAPAK</t>
  </si>
  <si>
    <t>PAPILION BABY WET CHAMOMILE W 100 BAG</t>
  </si>
  <si>
    <t>PAPILION BABY WET GREEN APPLE W 100 BAG</t>
  </si>
  <si>
    <t>PAPILION BABYWET CHARM.LAVENDER W 100BAG</t>
  </si>
  <si>
    <t>PAPILION BABYWET CHARMINGROSE W 100 BAG</t>
  </si>
  <si>
    <t>PAPILION JUMBO WET PH5.5 W 120 BAG KAPAK</t>
  </si>
  <si>
    <t>PAPILION BABY WET SENSITIVE W 72 BAG</t>
  </si>
  <si>
    <t>PAPILION YELLOW LILY W 90 BAG KAPAK</t>
  </si>
  <si>
    <t>PINE ALOE VERA KREMALI W 120 BAG KAPAK</t>
  </si>
  <si>
    <t>PINE ALOE VERA KREMALI W 72 BAG KAPAK</t>
  </si>
  <si>
    <t>TROMPY 20 BAG</t>
  </si>
  <si>
    <t>HAPPY FRESH BABY W 72 BAG KAPAK</t>
  </si>
  <si>
    <t>ULTRA COMPACT ANGELS ALC.FREE W 120 BAG</t>
  </si>
  <si>
    <t>ULTRA COMPACT MOMO CREAMY W 120 BAG</t>
  </si>
  <si>
    <t>ULTRA COMPACT ANGELS ALC.FREE W 72 BAG</t>
  </si>
  <si>
    <t>ULTRACOMPACT BABY PH5.5 ALC.FREE W 72 BA</t>
  </si>
  <si>
    <t>KANZ NATURAL SENS.SKIN ALC.FREE W120 BAG</t>
  </si>
  <si>
    <t>KANZ EXTRA SOFT ALC.FREE W 50 BAG</t>
  </si>
  <si>
    <t>KANZ ULTRA SOFT ALC.FREE W 72 BAG</t>
  </si>
  <si>
    <t>CHICCO SALVIETTINE SENSITIVE W 60 BAG</t>
  </si>
  <si>
    <t>CHICCO SALVIETTINE PARABENI W 72 BAG</t>
  </si>
  <si>
    <t>UNI COMFORT LOTION P H5.5 72 BAG</t>
  </si>
  <si>
    <t>EVENT BABY CALENDULA 140 BAG KAPAK</t>
  </si>
  <si>
    <t>EVENT BABY CALENDULA 140 BAG KAPAK+WIP</t>
  </si>
  <si>
    <t>EVENT BABY MOIST.CHAMOMILE 20 W BAG</t>
  </si>
  <si>
    <t>EVENT BABY SENSIT. ALOE VERA 20 BAG</t>
  </si>
  <si>
    <t>EVENT BABY CALENDULA W 25 BAG</t>
  </si>
  <si>
    <t>EVENT BABY CALENDULA W 25 BAG+WIP 140</t>
  </si>
  <si>
    <t>EVENT BABY CALENDULA HYPOALL.W 30 BAG</t>
  </si>
  <si>
    <t>EVENT BABY HYPOAL.CALENDULA 64 W BAG</t>
  </si>
  <si>
    <t>EVENT BABY HYPOALL.CHAMOMILE 72 W BAG</t>
  </si>
  <si>
    <t>EVENT BABY MOIST.CHAMOMILE 72 W BAG</t>
  </si>
  <si>
    <t>EVENT BABY SENSIT. ALOE VERA 72 W BAG</t>
  </si>
  <si>
    <t>TEX BABY PH5.5 ALC.FREE W 100 BAG PURPLE</t>
  </si>
  <si>
    <t>TEX BABY PH5.5 ALC.FREE W 100 BAG YELLOW</t>
  </si>
  <si>
    <t>NIVEA BABY SOFT&amp;CREME 20 BAG</t>
  </si>
  <si>
    <t>NIVEA BABY TODDIES 2IN1 60 BAG</t>
  </si>
  <si>
    <t>NIVEA BABY FRESH&amp;PURE 63 BAG</t>
  </si>
  <si>
    <t>NIVEA BABY PURE&amp;SENSITIVE 63 W BAG</t>
  </si>
  <si>
    <t>NIVEA BABY SOFT&amp;CREME 63 BAG</t>
  </si>
  <si>
    <t>SMILE ALOE&amp;CAMOMILE PH5.5 60 BAG</t>
  </si>
  <si>
    <t>BABYCARE WITHCREAM W 80/8FREE BAG KAPAK</t>
  </si>
  <si>
    <t>BABY WISH VITE&amp;PROVITAMINB5 W 120 BAG</t>
  </si>
  <si>
    <t>COSMI</t>
  </si>
  <si>
    <t>COSMI BABY ARGAN W 20 BAG</t>
  </si>
  <si>
    <t>AQUELLA BABY AMUR WITH CREAM W 120 BAG</t>
  </si>
  <si>
    <t>AQUELLA BABY ULTRA SOFT CREAM W 120 BAG</t>
  </si>
  <si>
    <t>AQUELLA TROPIC ALC.FREE W 120 BAG</t>
  </si>
  <si>
    <t>AQUELLA KIDS BABY ALOEVERA&amp;CREAM W 60BAG</t>
  </si>
  <si>
    <t>AQUELLA BABY VIT E&amp;PRO B5 W 72 BAG</t>
  </si>
  <si>
    <t>AQUELLA KIDS BABY PH5.5 W 72 BAG</t>
  </si>
  <si>
    <t>AQUELLA BABY VIT E&amp;PRO B5 W 90 BAG KAPAK</t>
  </si>
  <si>
    <t>AURA ULTRA COMF. COTTON HYPOALL. W 100 B</t>
  </si>
  <si>
    <t>AURA ULTRA COMFORT COTTON W 63 BAG</t>
  </si>
  <si>
    <t>COTTON BABY UL.SOFT CREAM ALC.FREE W 120</t>
  </si>
  <si>
    <t>COTTON BABY PH5.5 AL.FREE W 90 BAG KAPAK</t>
  </si>
  <si>
    <t>MIMI NICE BABY PH5.5 W 15 BAG</t>
  </si>
  <si>
    <t>MY COMFORT BABY ANGEL PH5.5 W 120 BAG</t>
  </si>
  <si>
    <t>MY COMFORT BABY ARGAN ALK.FREE W 120 BAG</t>
  </si>
  <si>
    <t>NICEBABY PROVITB5&amp;VITE PH5.5 W 120 BAG</t>
  </si>
  <si>
    <t>WINEX BABY PH5.5 W 72 BAG</t>
  </si>
  <si>
    <t>WINEX BABY PROVITB5&amp;VIT.F PH5.5 W 72 BAG</t>
  </si>
  <si>
    <t>PADDLERS SOFT&amp;CREAM PROVITB5&amp;VITE W 120</t>
  </si>
  <si>
    <t>PURE BABY JUMBO PH5.5 W 120 BAG</t>
  </si>
  <si>
    <t>SLEEPY BABY SENSITIVE 110 W BAG KAPAK</t>
  </si>
  <si>
    <t>SLEEPY BABY APPLE AL.FREE W 120 BAG</t>
  </si>
  <si>
    <t>SLEEPY BABY LEMON AL.FREE W 120 BAG</t>
  </si>
  <si>
    <t>SLEEPY BABY ORANGE AL.FREE W 120 BAG</t>
  </si>
  <si>
    <t>SLEEPY BABY PH5.5 120 W BAG KAPAK</t>
  </si>
  <si>
    <t>SLEEPY STRAWBERRY BABY AL.FREE 120 W BAG</t>
  </si>
  <si>
    <t>SLEEPY BABY MIXED FRUIT PH5.5 15 W BAG</t>
  </si>
  <si>
    <t>SLEEPY BABY PH5.5 70 W BAG</t>
  </si>
  <si>
    <t>YESS BABY ALC.FREE W 120 BAG</t>
  </si>
  <si>
    <t>YESS BABY ALC.FREE W 15 BAG</t>
  </si>
  <si>
    <t>ELAN SENS.CREAM LOTION W 120 BAG ZELENI</t>
  </si>
  <si>
    <t>LAN SENS.CREAM LOTION 120 BAG LILAVI</t>
  </si>
  <si>
    <t>SETABLU OAT EXTRACT PH5.5 W 72 BAG KAPAK</t>
  </si>
  <si>
    <t>LIBERO ALOE ALC.FREE W 20 BAG</t>
  </si>
  <si>
    <t>LIBERO ALOE&amp;CHAMOMILE W 20 BAG</t>
  </si>
  <si>
    <t>LIBERO ALOE&amp;CHAMOMILE W 4X64 BAG</t>
  </si>
  <si>
    <t>LIBERO ALOE&amp;CHAMOMILE W 64 BAG</t>
  </si>
  <si>
    <t>EVY BABY SOFT CHAMOMILE ALC.FREE W50 BAG</t>
  </si>
  <si>
    <t>EVY BABY SOFT CHAMOMILE EXTRACT W 56 BAG</t>
  </si>
  <si>
    <t>EVY BABY CREAMY ALOE VERA MOIST W 60 BAG</t>
  </si>
  <si>
    <t>EVY BABY SOFT CHAMOMILE EXTRACT W 60 BAG</t>
  </si>
  <si>
    <t>FEMOLE FRESH VITE PH5.5 W 72 BAG CHERVEN</t>
  </si>
  <si>
    <t>FEMOLE FRESHBABY VITE PH5.5 W 72 BAG SIN</t>
  </si>
  <si>
    <t>BERFINY CLASSIC BABY W 72 BAG</t>
  </si>
  <si>
    <t>BERFINY EXTRA BABY W 72 BAG</t>
  </si>
  <si>
    <t>FRESH RUNY BABY PH5.5 ALC.FREE W 120 BAG</t>
  </si>
  <si>
    <t>FRESH RUNY BABY MILK&amp;HONEY W 64 BAG</t>
  </si>
  <si>
    <t>FRESH MAKER BABY PH5.5 W 120 BAG JUMBO</t>
  </si>
  <si>
    <t>FRESH MAKER BABY CREAM W 120/48FREE BAG</t>
  </si>
  <si>
    <t>FRESH MAKER BABY CREAM W 72 BAG</t>
  </si>
  <si>
    <t>FRESH MAKER BABY CREAM W 72 BAG KAPAK</t>
  </si>
  <si>
    <t>FRESH MAKER BABY CREAM W 96/24FREE BAG</t>
  </si>
  <si>
    <t>FRESH MAKER BABY W 72 BAG</t>
  </si>
  <si>
    <t>FRESH MAKER BABY WITH CREAM W 72 BAG</t>
  </si>
  <si>
    <t>FRESH MAKER ALOE VERA PH5.5 W 90 BAG</t>
  </si>
  <si>
    <t>FRESH MAKER SENSITIVE ALC.FREE W 90 BAG</t>
  </si>
  <si>
    <t>HAPPY ALOE VERA W 100 BAG KAPAK</t>
  </si>
  <si>
    <t>KIDS BABY WET WIPES W 72 BAG KAPACHE</t>
  </si>
  <si>
    <t>LIO FRESH BABY CREAM LOTION W 72 BAG</t>
  </si>
  <si>
    <t>NEMDIL BABY ROSE W 120 BAG KAPAK</t>
  </si>
  <si>
    <t>NEMDIL BABY WITH CREAM W 120 BAG KAPAK</t>
  </si>
  <si>
    <t>NEMDIL BABY ALCOHOL FREE W 72 BAG</t>
  </si>
  <si>
    <t>NEMDIL BABY OLIVE OIL CAMOMILE W 72 BAG</t>
  </si>
  <si>
    <t>NEMDIL BABYDELUXEALOE&amp;MIK&amp;HONEY W 72KAPA</t>
  </si>
  <si>
    <t>PREMIUM QUALITY BABY W 72 BAG &amp;&amp;&amp;</t>
  </si>
  <si>
    <t>PURE BABY LILIUM W 120 BAG KAPAK</t>
  </si>
  <si>
    <t>NAPEEZBYGRACIA BABY PH5.5 100 BAG KAPAK</t>
  </si>
  <si>
    <t>MIKE LINE SENSIT.CREAM LOTION W 72 BAG</t>
  </si>
  <si>
    <t>PRIME TALKO SENSITIVE 63 BAG KAPAK</t>
  </si>
  <si>
    <t>PRIME BABY ALC.FREE 72 BAG KAPAK</t>
  </si>
  <si>
    <t>PONKY BABY W 72 BAG +KAPACHE</t>
  </si>
  <si>
    <t>PONKY BABY WET TOWEL W 72 BAG ZHALTI</t>
  </si>
  <si>
    <t>POZZY EXTRA MILK&amp;HONEY PH5.5 W 72 BAG</t>
  </si>
  <si>
    <t>POZZY EXTRA OLIVE OIL ALC.FREE W 72 BAG</t>
  </si>
  <si>
    <t>CLEANIC BABY ATOPICAL D-PANT. PH 50 BAG</t>
  </si>
  <si>
    <t>CLEANIC BABY PROBIOTICAL HYPOAL.50 BAG</t>
  </si>
  <si>
    <t>CLEANIC BABY VEGEMILK VIT&amp;MIN.50 BAG</t>
  </si>
  <si>
    <t>PETINO DELICATO&amp;FRESH ALANTOIN 120 BAG</t>
  </si>
  <si>
    <t>PETINO DELICATO&amp;FRESH ALANTOIN 84/12FR</t>
  </si>
  <si>
    <t>MOLFIX BABY COTTON PH5.5 W 50 BAG HAYAT</t>
  </si>
  <si>
    <t>MOLFIX BABY IZOT.WATER PANT.&amp;LAN.W 60 BA</t>
  </si>
  <si>
    <t>MOLFIX BABY LOTION ISO.WATER W 3X60 BAG</t>
  </si>
  <si>
    <t>MOLFIX BABY LOTION PH5.5 W 60 BAG HAYAT</t>
  </si>
  <si>
    <t>MOLFIX BABY LOTION W 3X60 BAG HAYAT</t>
  </si>
  <si>
    <t>MOLFIX BABY LOTION W 3X63 BAG HAYAT</t>
  </si>
  <si>
    <t>MOLFIX BABY W 63 BAG HAYAT</t>
  </si>
  <si>
    <t>HIMALAYA ALOE VERA&amp;INDIANLOTUS W 20 BAG</t>
  </si>
  <si>
    <t>ALCOHOL FREE &amp; HYPOALLERGENIC</t>
  </si>
  <si>
    <t>HIMALAYA SOOTHING&amp;PROTECTINGBABY W 20BAG</t>
  </si>
  <si>
    <t>HIMALAYA ALOE VERA&amp;INDIANLOTUS W 56 BAG</t>
  </si>
  <si>
    <t>HIMALAYA SOOTHING&amp;PROTECTINGBABY W 56BAG</t>
  </si>
  <si>
    <t>HIPP BABY SANFT ALMOND PH5.5 W 10 BAG</t>
  </si>
  <si>
    <t>HIPP BABY ULTRASENSITIVE MANDEL W 52 BAG</t>
  </si>
  <si>
    <t>HIPP BABY ALMOND W 56 BAG</t>
  </si>
  <si>
    <t>HIPP BABY GENTLE CARING W 56 BAG</t>
  </si>
  <si>
    <t>HIPP BABY SANFT FEUCHT TUCHER W 56 BAG</t>
  </si>
  <si>
    <t>HIPP BABYSANFT BIOMANDELEXT.W 2X56+POD.</t>
  </si>
  <si>
    <t>HIPP BABYSANFT BIOMANDELEXTR. W 2X56 BAG</t>
  </si>
  <si>
    <t>HIPP BABYSANFT BIOMANDELEXTRACT W 56 BAG</t>
  </si>
  <si>
    <t>BIONIKE TRIDERM BABY CLEANSING 72 BAG</t>
  </si>
  <si>
    <t>WATERWIPES FRUITEXTR.99.9%WATER W 10 BAG</t>
  </si>
  <si>
    <t>WATERWIPES FRUITEXTR.99.9%WATER W 240BAG</t>
  </si>
  <si>
    <t>WATERWIPES FRUITEXTR.99.9%WATER W 28 BAG</t>
  </si>
  <si>
    <t>WATERWIPES FRUITEXTR.99.9%WATER W 60 BAG</t>
  </si>
  <si>
    <t>WATERWIPES SOAPBERRY99.9%WATER W 60 BAG</t>
  </si>
  <si>
    <t>PEPPA PIG BABY MUDDY PUDDLE 56 W BAG</t>
  </si>
  <si>
    <t>JOHNSONS BABY GENTLE ALL OVER W 20 BAG</t>
  </si>
  <si>
    <t>JOHNSONS BAB COT.TOU SEN.W56+BOD+SHG+IGR</t>
  </si>
  <si>
    <t>JOHNSONS BABY COTTON TOUCH SENS.W 56 BAG</t>
  </si>
  <si>
    <t>JOHNSONS BABY GENTLE ALL OVER W 3X56 BAG</t>
  </si>
  <si>
    <t>JOHNSONS BABY SILK EXTRACT W 56 BAG</t>
  </si>
  <si>
    <t>JOHNSONS BABY GENTLE ALL OVER W 72 BAG K</t>
  </si>
  <si>
    <t>JOHNSONS BABY SENSITIVE ALC.FREE W 72 BA</t>
  </si>
  <si>
    <t>MAIA BABY PURE&amp;SENSITIVE PH5.5 W 72 BAG</t>
  </si>
  <si>
    <t>KRISPA BABY CAMOMILE W 15 BAG</t>
  </si>
  <si>
    <t>FRESH'N SOFT WATER&amp;COTTON W 3X40 BAG</t>
  </si>
  <si>
    <t>FRESH'N SOFT CLASSIC PH5.5 W 90 BAG</t>
  </si>
  <si>
    <t>RENKLY JUMBO CHAMOMILE 120 W BAG KAPAK</t>
  </si>
  <si>
    <t>RENKLY BABY ALC.FREE W 70 BAG</t>
  </si>
  <si>
    <t>RENKLY BABY ALOE VERA 70 W BAG</t>
  </si>
  <si>
    <t>RENKLI BABY ALC.FREE PH5.5 W 72 BAG KAPA</t>
  </si>
  <si>
    <t>RENKLY BABY 72 W BAG</t>
  </si>
  <si>
    <t>HUGGIES NATURAL CARE ALOE VERA W 56 BAG</t>
  </si>
  <si>
    <t>HUGGIES PURE COTTON WOOL&amp;WATER 56 W BAG</t>
  </si>
  <si>
    <t>HUGGIES SOFT SKIN VIT E 56 BAG</t>
  </si>
  <si>
    <t>HUGGIES UNISTAR LINGETTES 56 W BAG</t>
  </si>
  <si>
    <t>HUGGIES ALOE+VIT E W 64 BAG</t>
  </si>
  <si>
    <t>HUGGIES BABY UNISTAR W 64 BAG</t>
  </si>
  <si>
    <t>HUGGIES PURE 99% WATER 72 W BAG</t>
  </si>
  <si>
    <t>KOMILI BABY SOFT ALC.FREE W 70 BAG</t>
  </si>
  <si>
    <t>KOMILI BABY COTTON PH5.5 W 80 BAG</t>
  </si>
  <si>
    <t>TANGO BABY SOFT VIT E ALC.FREE 72BR BAG</t>
  </si>
  <si>
    <t>MUSTELA BEBE CLEANSING 25 W BAG</t>
  </si>
  <si>
    <t>MUSTELA BEBE CLEANSING 25 W NP KAPAK</t>
  </si>
  <si>
    <t>MUSTELA BEBE STELATOPIA W 50 BAG KAPAK</t>
  </si>
  <si>
    <t>MUSTELABEBE STELATOPIAW50KAP+BOD+BOD+BOD</t>
  </si>
  <si>
    <t>MUSTELA BEBE CLEANSING 60 W BAG</t>
  </si>
  <si>
    <t>MUSTELA BEBE CLEANSING AVOCADO 70 W BAG</t>
  </si>
  <si>
    <t>MUSTELA BEBE CLEANSING W 70 BAG KAPAK</t>
  </si>
  <si>
    <t>MUSTELA BEBE SOOTHING ALOE VERA 70 W BAG</t>
  </si>
  <si>
    <t>LANSINOH BABY ALC.FREE W 80 BAG KAPAK</t>
  </si>
  <si>
    <t>LARA BABY SOFT ALOE VERA W 100 BAG KAPAK</t>
  </si>
  <si>
    <t>LARA BABY SOFT CAMOMILE W 100 BAG KAPAK</t>
  </si>
  <si>
    <t>LARA BABY SOFT GERBERA DAISY W 100 BAG</t>
  </si>
  <si>
    <t>LARA BABY SOFT LAVENDER W 100 BAG KAPAK</t>
  </si>
  <si>
    <t>LARA BABY SOFT WILD ROSE W 100 BAG KAPAK</t>
  </si>
  <si>
    <t>LARA BABYSOFT LEMON&amp;GRAPEFRUIT W 100 BAG</t>
  </si>
  <si>
    <t>LARA BABY SOFT ALOE VERA W 120 BAG KAPAK</t>
  </si>
  <si>
    <t>LARA BABY SOFT CAMOMILE BREEZE W 120 BAG</t>
  </si>
  <si>
    <t>LARA BABY SOFT CAMOMILE W 120 BAG KAPAK</t>
  </si>
  <si>
    <t>LARA BABY SOFT GERBER W 120 BAG KAPAK</t>
  </si>
  <si>
    <t>LARA BABY SOFT LAVENDER W 120 BAG KAPAK</t>
  </si>
  <si>
    <t>LARA BABY SOFT WILD ROSE W 120 BAG KAPAK</t>
  </si>
  <si>
    <t>LARA BABYSOFT LEMON&amp;GRAPEFRUIT W 120 BAG</t>
  </si>
  <si>
    <t>LARA BABYSOFT PREMIUM ALC.FREE W 120 BAG</t>
  </si>
  <si>
    <t>LARA BABY SOFT&amp;FRESH PH5.5 W 20 BAG</t>
  </si>
  <si>
    <t>LARA BABY SOFT ALOE VERA W 40 BAG</t>
  </si>
  <si>
    <t>LARA BABY SOFT VIT E&amp;PRO VIT B5 W 40 BAG</t>
  </si>
  <si>
    <t>LARA CARE BABY 99%WATER PREBIOTIC W 60</t>
  </si>
  <si>
    <t>LARA BABY FRESH W 72 BAG/KAPACHE</t>
  </si>
  <si>
    <t>LARA BABY SENSITIVE PH5.5 W 72 BAG</t>
  </si>
  <si>
    <t>LARA BABY SOFT CAMOMILE W 72 BAG/KAPACHE</t>
  </si>
  <si>
    <t>LARA BABY SOFT PH5.5 W 72 BAG</t>
  </si>
  <si>
    <t>LARA BABY SOFT PH5.5 W 72 BAG KAPAK</t>
  </si>
  <si>
    <t>LARA BABY SOFT VIT E&amp;PRO VIT B5 W 72 BAG</t>
  </si>
  <si>
    <t>LARA BABY SOFT&amp;FRESH W 72 BAG</t>
  </si>
  <si>
    <t>LARA BABY SPECIAL FORMULA VIT E W 72 BAG</t>
  </si>
  <si>
    <t>LARA BABY SOFT ALOE VERA W 80 BAG KAPAK</t>
  </si>
  <si>
    <t>LARA BABY SOFT WILD ROSE W 80 BAG KAPAK</t>
  </si>
  <si>
    <t>LARA BABYSOFT CAMOMILEBREEZ.W 80 BAG KAP</t>
  </si>
  <si>
    <t>LARA BABY SOFT EXTRA W 96 BAG/KAPACHE</t>
  </si>
  <si>
    <t>PUFY FRESH GERBERA PH5.5 W 120 BAG</t>
  </si>
  <si>
    <t>TOP BLITZ CREAM VIT E W 72 BAG</t>
  </si>
  <si>
    <t>CONFY BABY PH5.5 W 40 BAG</t>
  </si>
  <si>
    <t>CONFY BABY SENSITIVE W 90 BAG</t>
  </si>
  <si>
    <t>CONFY BABY SENSITIVE W 90 BAG PINK</t>
  </si>
  <si>
    <t>MIMOSA BABY ALOE VERA 64 BAG</t>
  </si>
  <si>
    <t>MIMOSA BABY CHAMOMILE 64 BAG</t>
  </si>
  <si>
    <t>MIMOSA BABY PH5.5 72 BAG KAPAK</t>
  </si>
  <si>
    <t>SENCE BABY SENSITIVE PH5.5 W 60 BAG</t>
  </si>
  <si>
    <t>BABY CARE CHAMOMILE 4X12/2FR BAG</t>
  </si>
  <si>
    <t>BABY CARE CHAMOMILE W 12 BAG</t>
  </si>
  <si>
    <t>BABY CARE CHAMOMILE W 3X12/1FR BAG</t>
  </si>
  <si>
    <t>BABY CARE TRAVEL CHAMOMILE 20 BAG</t>
  </si>
  <si>
    <t>BABY CARE CLAMING PURE WATER 63 BAG</t>
  </si>
  <si>
    <t>BABY CARE PURE COTTON EXTRACT 63 BAG</t>
  </si>
  <si>
    <t>BABY CARE SENSITIVE OLIVE EXTRACT 63 BAG</t>
  </si>
  <si>
    <t>BABY CARE TRAVEL CHAMOMILE 72 BAG RE</t>
  </si>
  <si>
    <t>BABY LINO SENSITIVE CHAMOMILE W 54 BAG</t>
  </si>
  <si>
    <t>BABYLINO SENSITIVE ARNIKACHAMOMILE W 54</t>
  </si>
  <si>
    <t>BABYLINO SENSITIVE CHAMOMILE W 54+10 BAG</t>
  </si>
  <si>
    <t>BABYLINO SENSITIVE CHAMOMILE W 54+WIP 10</t>
  </si>
  <si>
    <t>L'UNICO BABY OLIO DI ARGAN HYPO.W 72 BAG</t>
  </si>
  <si>
    <t>BIG SOFT SENSITIVE WITH CREAM 100 BAG</t>
  </si>
  <si>
    <t>BIGSOFT SENSITIVEWITHCREAM 100 BAG KAPAK</t>
  </si>
  <si>
    <t>BIG SOFT CREAM SENS.PH5.5 W 120 BAG</t>
  </si>
  <si>
    <t>BIG SOFT SENSITIVE OLIVE OIL ALOE 70 BAG</t>
  </si>
  <si>
    <t>HAPPY FAMILY BABY PH5.5 W 70 BAG</t>
  </si>
  <si>
    <t>MORS CHAMOMILE PH5.5 W 120 BAG KAPAK</t>
  </si>
  <si>
    <t>WIPEST COMFORT ALC.FREE W 120 BAG KAPAK</t>
  </si>
  <si>
    <t>WIPEST COMFORT ALC.FREE W 72 BAG KAPAK</t>
  </si>
  <si>
    <t>NATY SENSITIVE ALOE VERA W 56 BAG</t>
  </si>
  <si>
    <t>NATY SENSITIVE W 56 BAG NATY AB</t>
  </si>
  <si>
    <t>FRESH BABY PREMIUM ALC.FREE W 100 BAG</t>
  </si>
  <si>
    <t>FRESH BABY PH5.5 W 15 BAG</t>
  </si>
  <si>
    <t>FRESH BABY WATER 99.9% W 60 BAG</t>
  </si>
  <si>
    <t>FRESH BABY P H5.5 W 72 BAG</t>
  </si>
  <si>
    <t>FRESH BABY PH5.5 W 72 BAG KAPAK</t>
  </si>
  <si>
    <t>GOLDEN SENSITIVE W 120 BAG</t>
  </si>
  <si>
    <t>GOLDEN SENSITIVE W 72 BAG</t>
  </si>
  <si>
    <t>MY FIX BABY ROSE FRESH W 80 BAG KAPAK</t>
  </si>
  <si>
    <t>PUFFY BABY SENSITIVE PURE W 88 BAG KAPAK</t>
  </si>
  <si>
    <t>TITO BABY SOFT COMFORT PH5.5 W 120 BAG</t>
  </si>
  <si>
    <t>TITO BABY PH5.5 ALC.FREE W 72 BAG KAPAK</t>
  </si>
  <si>
    <t>TITO BABY SOFT COMFORT PH5.5 W 72 BAG</t>
  </si>
  <si>
    <t>FRESH BABY PREM.QUALITY PH5.5 W 120 BAG</t>
  </si>
  <si>
    <t>PUFY BABY CHAMOMILE PH5.5 W 120 BAG</t>
  </si>
  <si>
    <t>SPEEDYCARE BABYLINECONCREMAMAXI 20 BAG</t>
  </si>
  <si>
    <t>CAN BEBE BASIC CARE ALK.FREE W 56 BAG</t>
  </si>
  <si>
    <t>BEBIKO VIP BABY ALOE VERA W 72 BAG KAPAK</t>
  </si>
  <si>
    <t>PAPATYA BABY B5&amp;VIT E PH5.5 90 W BAG</t>
  </si>
  <si>
    <t>PERFETTO PH5.5 ALC.FREE W 80 BAG</t>
  </si>
  <si>
    <t>BETTY BABY ALC.FREE W 24 BAG</t>
  </si>
  <si>
    <t>BETTY BABY ALC.FREE W 72 BAG</t>
  </si>
  <si>
    <t>KLORANE BEBE CALENDULA ALC.FREE W 25 BAG</t>
  </si>
  <si>
    <t>KLORANE BEBE CALENDULA CLEAN.LOTION W 70</t>
  </si>
  <si>
    <t>KLORANE BEBE CALENDULA THICKCL. W 70 BAG</t>
  </si>
  <si>
    <t>KLORANE BEBE CALENDULA W 70 SP.TS. BAG</t>
  </si>
  <si>
    <t>FRESH BABY ALOE&amp;CALEN. PH5.5 W 60 BAG</t>
  </si>
  <si>
    <t>FRESH BABY AQUA PURE PH5.5 W 60 BAG</t>
  </si>
  <si>
    <t>FRESH BABY CARE ALOE VERA W 60 BAG</t>
  </si>
  <si>
    <t>FRESH BABY SOFT CREAM W 60 BAG</t>
  </si>
  <si>
    <t>SLIPP BEBE SENS.LOTION&amp;VITE&amp;B5 W 120 BAG</t>
  </si>
  <si>
    <t>MELANI BABY ALOEVERA&amp;VITE W 64 BAG KAPAK</t>
  </si>
  <si>
    <t>PAMPERS AQUA PURE ALC.FREE 12 BAG+DIA</t>
  </si>
  <si>
    <t>PAMPERS AQUA PURE ALC.FREE 12 BAG+DIA28</t>
  </si>
  <si>
    <t>PAMPERS AQUA PURE ALC.FREE 12 BAG+DIA50</t>
  </si>
  <si>
    <t>PAMPERS SENSITIVE ALC.FREE 12 BAG</t>
  </si>
  <si>
    <t>PAMPERS SENSITIVE PH5.5 12 BAG</t>
  </si>
  <si>
    <t>PAMPERS BABY FRESH 24 BAG</t>
  </si>
  <si>
    <t>PAMPERS SOLE E LUNA CAMOMILLA 50/25%BAG</t>
  </si>
  <si>
    <t>PAMPERS AQUA HARMONIE 99%WATER 3X48 BAG</t>
  </si>
  <si>
    <t>PAMPERS AQUA HARMONIE 99%WATER AL.FR.48</t>
  </si>
  <si>
    <t>PAMPERS AQUA PURE ALC.FREE 3X48 BAG</t>
  </si>
  <si>
    <t>PAMPERS AQUA PURE ALC.FREE 48 BAG</t>
  </si>
  <si>
    <t>PAMPERS BABY FRESH CLEAN W 2X52 BAG</t>
  </si>
  <si>
    <t>PAMPERS BABY FRESH CLEAN W 4X52 BAG</t>
  </si>
  <si>
    <t>PAMPERS BABY FRESH CLEAN W 52 BAG</t>
  </si>
  <si>
    <t>PAMPERS BABY FRESH CLEAN W 52 BAG+DIA 38</t>
  </si>
  <si>
    <t>PAMPERS BABY FRESH CLEAN W 52 BAG+DIA 40</t>
  </si>
  <si>
    <t>PAMPERS BABY FRESH CLEAN W 52 BAG+DIA 42</t>
  </si>
  <si>
    <t>PAMPERS BABY FRESH CLEAN W 52 BAG+DIA 44</t>
  </si>
  <si>
    <t>PAMPERS BABY FRESH CLEAN W 52 BAG+DIA 51</t>
  </si>
  <si>
    <t>PAMPERS BABY FRESH CLEAN W 52 BAG+DIA 52</t>
  </si>
  <si>
    <t>PAMPERS BABY FRESH CLEAN W 52 BAG+DIA 53</t>
  </si>
  <si>
    <t>PAMPERS BABY FRESH CLEAN W 52 BAG+DIA 54</t>
  </si>
  <si>
    <t>PAMPERS BABY FRESH CLEAN W 52 BAG+DIA 58</t>
  </si>
  <si>
    <t>PAMPERS BABY FRESH CLEAN W 52 BAG+DIA 60</t>
  </si>
  <si>
    <t>PAMPERS BABY FRESH CLEAN W 52 BAG+DIA 66</t>
  </si>
  <si>
    <t>PAMPERS BABY FRESH CLEAN W 52 BAG+DIA 68</t>
  </si>
  <si>
    <t>PAMPERS BABY FRESH CLEAN W 52 BAG+DIA 76</t>
  </si>
  <si>
    <t>PAMPERS BABY FRESH CLEAN W 52 BAG+DIA 78</t>
  </si>
  <si>
    <t>PAMPERS BABY FRESH CLEAN W 52 BAG+DIA 90</t>
  </si>
  <si>
    <t>PAMPERS BABY FRESH CLEAN W 52 BAG+DIA104</t>
  </si>
  <si>
    <t>PAMPERS BABY FRESH CLEAN W 52 BAG+DIA50</t>
  </si>
  <si>
    <t>PAMPERS BABY FRESH CLEAN W 52+DIA PANT38</t>
  </si>
  <si>
    <t>PAMPERS BABY FRESH CLEAN W 6X52 BAG</t>
  </si>
  <si>
    <t>PAMPERS BABY FRESH CLEAN W52+DIA ACT6 44</t>
  </si>
  <si>
    <t>PAMPERS BABY FRESH CLEAN W52+DIA PANTS60</t>
  </si>
  <si>
    <t>PAMPERS SENSITIVE PH5.5 2X52 BAG</t>
  </si>
  <si>
    <t>PAMPERS SENSITIVE PH5.5 4X52 BAG</t>
  </si>
  <si>
    <t>PAMPERS SENSITIVE PH5.5 52 BAG</t>
  </si>
  <si>
    <t>PAMPERS SENSITIVE PH5.5 6X52 BAG</t>
  </si>
  <si>
    <t>PAMPERS SENSITIVE 54 BAG KAPAK</t>
  </si>
  <si>
    <t>PAMPERS SENSITIVE 2X56 BAG</t>
  </si>
  <si>
    <t>PAMPERS SENSITIVE 4X56 BAG</t>
  </si>
  <si>
    <t>PAMPERS SENSITIVE 56 BAG</t>
  </si>
  <si>
    <t>PAMPERS SENSITIVE 56 BAG KAPAK</t>
  </si>
  <si>
    <t>PAMPERS SENSITIVE 56 BAG+DIA PANTS3 60</t>
  </si>
  <si>
    <t>PAMPERS SENSITIVE 56 BAG+DIA PANTS4 52</t>
  </si>
  <si>
    <t>PAMPERS SENSITIVE 56 BAG+DIA PANTS5 48 1</t>
  </si>
  <si>
    <t>PAMPERS SENSITIVE 56 BAG+DIA PR CARE54</t>
  </si>
  <si>
    <t>PAMPERS SENSITIVE 56 BAG+DIAPREMCARE3 60</t>
  </si>
  <si>
    <t>PAMPERS SENSITIVE 56 BAG+DIAPREMCARE5 44</t>
  </si>
  <si>
    <t>PAMPERS SENSITIVE 6X56/2BR FREE BAG</t>
  </si>
  <si>
    <t>PAMPERS SENSITIVE CAMOMILE&amp;ALOE 56 BAG</t>
  </si>
  <si>
    <t>PAMPERS SENSITIVE SOFTLIKECOTTON 56 BAG</t>
  </si>
  <si>
    <t>PAMPERS SENSITIVE W 6X56/336 BAG</t>
  </si>
  <si>
    <t>PAMPERS SENSITIVE XXL W 6X56/2BR FR BAG</t>
  </si>
  <si>
    <t>PAMPERS BABY FRESH ALOE W 64 BAG</t>
  </si>
  <si>
    <t>PAMPERS BABY FRESH CLEAN W 4X64 BAG</t>
  </si>
  <si>
    <t>PAMPERS BABY FRESH CLEAN W 64 BAG</t>
  </si>
  <si>
    <t>PAMPERS BABY FRESH CLEAN W 64 BAG+DIA 42</t>
  </si>
  <si>
    <t>PAMPERS BABY FRESH CLEAN W 64 BAG+DIA68</t>
  </si>
  <si>
    <t>PAMPERS BABY FRESH CLEAN W 6X64/384 BAG</t>
  </si>
  <si>
    <t>PAMPERS BABY FRESH ECONOMY W 2X64 BAG</t>
  </si>
  <si>
    <t>PAMPERS BABYFRESHCLEAN ALOE W 6X64/2BRFR</t>
  </si>
  <si>
    <t>PAMPERS BABYFRESHCLEAN W 3X64/1FREE BAG</t>
  </si>
  <si>
    <t>PAMPERS CLEAN&amp;PLAY 64 BAG</t>
  </si>
  <si>
    <t>PAMPERS NATURAL CLEAN W 64 BAG KAPAK</t>
  </si>
  <si>
    <t>PAMPERS NATURALCLEAN FRAGR.FREE W 64 BAG</t>
  </si>
  <si>
    <t>PAMPERS NATURALLY CLEAN W 4X64 BAG</t>
  </si>
  <si>
    <t>PAMPERS NATURALLY CLEAN+CHAMOMILE W 2X64</t>
  </si>
  <si>
    <t>PAMPERS BABY FRESH CLEAN XXL W 80 BAG</t>
  </si>
  <si>
    <t>PAMPERS SENSITIVE PH5.5 XXL 80 BAG</t>
  </si>
  <si>
    <t>PAMPERS HARMONIE COCO AL.FREE 3X42 BAG</t>
  </si>
  <si>
    <t>PAMPERS HARMONIE COCO AL.FREE 42 BAG</t>
  </si>
  <si>
    <t>PAMPERS PURE COCONUT AL.FREE 3X42 BAG</t>
  </si>
  <si>
    <t>PAMPERS PURE COCONUT AL.FREE 42 BAG</t>
  </si>
  <si>
    <t>PAMPERS 72 R BAG</t>
  </si>
  <si>
    <t>PAMPERS SENSITIVE 56 BOX</t>
  </si>
  <si>
    <t>BOX</t>
  </si>
  <si>
    <t>PRIMA HASSAS CILTLER W 56 BAG</t>
  </si>
  <si>
    <t>URIAGE BEBE HYPOALERGENIC W 2X70/1FR BAG</t>
  </si>
  <si>
    <t>URIAGE BEBE HYPOALERGENIC W 70 BAG</t>
  </si>
  <si>
    <t>BIMBO&amp;BIMBA CHAMOMILE&amp;ALOE W 80 BAG</t>
  </si>
  <si>
    <t>BIMBO&amp;BIMBA CHAMOMILE&amp;CALENDULA W 80 BAG</t>
  </si>
  <si>
    <t>BIMBO&amp;BIMBA CHAMOMILE&amp;LAVENDER W 80 BAG</t>
  </si>
  <si>
    <t>BIMBO&amp;BIMBA CHAMOMILE&amp;SMRADLIKA W 80 BAG</t>
  </si>
  <si>
    <t>VIBELLE BABY RASPBERRY VIT E PH5.5 W 144</t>
  </si>
  <si>
    <t>VIBELLE BABY ULTRA SENS.ROSE PH5.5 W 144</t>
  </si>
  <si>
    <t>BELUX BABY SENS.CREAM LOTION W 120 BAG</t>
  </si>
  <si>
    <t>BELUX ULTRA SENSITIVE W 120/48GRATIS BAG</t>
  </si>
  <si>
    <t>SECKIN PROVITB5 PH5.5 ALC.FREE W 102 BAG</t>
  </si>
  <si>
    <t>SOFT CARE COTTON VIT ECHAMOMILE W 72 BAG</t>
  </si>
  <si>
    <t>HOPS P H5.5 W 90/18BONUS ORANJEVI BAG</t>
  </si>
  <si>
    <t>DOCTOR WIPES BABY GRAPES W 60 BAG KAPAK</t>
  </si>
  <si>
    <t>DOCTOR WIPES BABY W 72 BAG &amp;&amp;&amp;</t>
  </si>
  <si>
    <t>MEDPROFESSIONAL BABYPOWDERARGANOIL W 24</t>
  </si>
  <si>
    <t>MED PROFESSIONAL BABY ALOE VERA W 60 BAG</t>
  </si>
  <si>
    <t>MEDPROFESSIONAL BABYGRAPESEEDOIL W 60BAG</t>
  </si>
  <si>
    <t>GIAN BABY CREAM PH5.5 W 120 BAG</t>
  </si>
  <si>
    <t>GIAN BABY CREAM PH5.5 W 72 BAG</t>
  </si>
  <si>
    <t>SEBAMED BABYCLEANSING EXTRASOFT W 72 BAG</t>
  </si>
  <si>
    <t>SEBAMED BABY OIL WIPES W 70 BOX</t>
  </si>
  <si>
    <t>MAMMI PH5.5 ALC.FREE W 72 BAG SINI</t>
  </si>
  <si>
    <t>MAMMI PH5.5 ALC.FREE W 72 BAG ZELENI</t>
  </si>
  <si>
    <t>ASALI BABY ULTRA SOFT VIT.E W 120 BAG</t>
  </si>
  <si>
    <t>COTTON SOFT CHAMOMILE ALC.FREE W 100 BAG</t>
  </si>
  <si>
    <t>COTTON SOFT PH5.5 W 120 BAG KAPAK</t>
  </si>
  <si>
    <t>COTTON SOFT PH5.5 W 72 BAG KAPAK</t>
  </si>
  <si>
    <t>COTTON SOFT W 72 BAG</t>
  </si>
  <si>
    <t>ELVIM BABY JUMBO SENSITIVE W 120 BAG</t>
  </si>
  <si>
    <t>ELVIM ULTRA SENSITIVE VIT E&amp;B5 W 70 BAG</t>
  </si>
  <si>
    <t>ELVIM BABY ULTRASENSITIVE LOTION&amp;VITE 72</t>
  </si>
  <si>
    <t>ELVIM BABY ULTRASENSITIVE LOTION&amp;VITE 90</t>
  </si>
  <si>
    <t>FLAMINGO BABY ULTRASENS.LOTION&amp;VITE 70 B</t>
  </si>
  <si>
    <t>INCI FRESH VITE&amp;PROVITB5 ALC.FREE W 100</t>
  </si>
  <si>
    <t>INCI FRESH VITE&amp;PROVITB5 PH5.5 W 120 BAG</t>
  </si>
  <si>
    <t>INCI FRESH ULTRASOFT VITE&amp;PROVITB5 W 144</t>
  </si>
  <si>
    <t>INCI FRESH VITE&amp;PROVITB5 PH5.5 W 60 BAG</t>
  </si>
  <si>
    <t>INCI FRESH VITE&amp;PROVITB5 PH5.5 W 72 BAG</t>
  </si>
  <si>
    <t>INCI FRESH VITE&amp;PROVITB5 PH5.5 W 90/18FR</t>
  </si>
  <si>
    <t>SEPTONA CALM NCARE CHAMOM BABY 12 W BAG</t>
  </si>
  <si>
    <t>SEPTONA ALOE VERA BABY ALC.FREE 20 BAG</t>
  </si>
  <si>
    <t>SEPTONA CHAMOMILE BABY 20 W BAG</t>
  </si>
  <si>
    <t>SEPTONA SENSITIVE ALMOND&amp;MILK W 20 BAG</t>
  </si>
  <si>
    <t>SEPTONA SENSITIVE CALMN CARE W 54 BAG</t>
  </si>
  <si>
    <t>SEPTONA CALM NCARE PANTENOL W 57 BAG</t>
  </si>
  <si>
    <t>SEPTONA ALOE VERA BABY 64 BAG</t>
  </si>
  <si>
    <t>SEPTONA CHAMOMILE BABY 3X64/1GR W BAG</t>
  </si>
  <si>
    <t>SEPTONA CHAMOMILE BABY 64 W BAG</t>
  </si>
  <si>
    <t>SEPTONA CHAMOMILE BABY 64 W BAG KAPAK</t>
  </si>
  <si>
    <t>SEPTONA SENSITIVE ALMOND&amp;MILK W 64 BAG</t>
  </si>
  <si>
    <t>SEPTONA SENSITIVE CALMN CARE W 64 BAG</t>
  </si>
  <si>
    <t>SEPTONA MILD FRAGANCE ALC.FREE W 72 BAG</t>
  </si>
  <si>
    <t>SEPTONA CALM NCARE PANTENOL W 75 BAG</t>
  </si>
  <si>
    <t>SEPTONA CALMN CARE ALOE VERA W 80 BAG</t>
  </si>
  <si>
    <t>IASSMIN BABY CREAM PH5.5 W 72 BAG</t>
  </si>
  <si>
    <t>JUNIOR&amp;TOMMY SENSITIVE W 120 BAG KAPAK</t>
  </si>
  <si>
    <t>NIKI BABY ALC.FREE W 130/10FR BAG KAPAK</t>
  </si>
  <si>
    <t>PEPINO BABY P H5.5 W 120/20FREE BAG</t>
  </si>
  <si>
    <t>PEPINO BABY P H5.5 W 130/10FREE BAG</t>
  </si>
  <si>
    <t>PEPINO BABY SOFT&amp;LUX P H5.5 W 70 BAG</t>
  </si>
  <si>
    <t>RENKLI MAGIC P H5.5 W 120 BAG KAPAK</t>
  </si>
  <si>
    <t>RENKLI PREMIUM BABY ALC.FREE W 130 BAG</t>
  </si>
  <si>
    <t>RENKLI BABY KIDS P H5.5 W 72 BAG</t>
  </si>
  <si>
    <t>RENKLI BABY KIDS P H5.5 W 72 BAG KAPAK</t>
  </si>
  <si>
    <t>RENKLI ZOO ANTIBACTERIAL W 72 BAG KAPAK</t>
  </si>
  <si>
    <t>RENKLI BABY LUX PH5.5 W 2X80 BAG</t>
  </si>
  <si>
    <t>RENKLI BABY LUX W 80 BAG KAPACHE</t>
  </si>
  <si>
    <t>SWEET BABY ALOEVERA PH5.5 W 72 BAG KAPAK</t>
  </si>
  <si>
    <t>FARMACOTONE BEBE CALENDULA SENS. 60 BAG</t>
  </si>
  <si>
    <t>FARMACOTONE BIO ALOE&amp;ALMOND PH5.5 72 BAG</t>
  </si>
  <si>
    <t>VOI MULTI VITAMINS PH5.5 W 100 BAG SINI</t>
  </si>
  <si>
    <t>VOI CREAM LOTION PH5.5 W 120 BAG KAPAK</t>
  </si>
  <si>
    <t>VOI CHAMOMILE PH5.5 W 72 BAG KAPAK</t>
  </si>
  <si>
    <t>VOI CREAM LOTION PH5.5 W 72 BAG KAPAK</t>
  </si>
  <si>
    <t>ALVESTA BABY PH5.5 W 120 BAG KAPAK</t>
  </si>
  <si>
    <t>ALVESTA BABY PH5.5 W 72 BAG KAPAK</t>
  </si>
  <si>
    <t>MIS MAK CLEANSE&amp;REFRESH PH5.5 W 72 BAG</t>
  </si>
  <si>
    <t>BIVY BABY NEWBORN W 60 BAG KAPAK</t>
  </si>
  <si>
    <t>BIVY SOFT&amp;FRESH PROVITB5&amp;VITE W 72 BAG</t>
  </si>
  <si>
    <t>DAISY BABY WET WIPES W 120 BAG</t>
  </si>
  <si>
    <t>BEBECAN PH5.5 W 72 BAG TNCR GIDA KAPAK</t>
  </si>
  <si>
    <t>HUGO BABY ALC.FREE W 120 BAG</t>
  </si>
  <si>
    <t>PROSOFT VITE&amp;PROVITB5 W 72 BAG CHERVENI</t>
  </si>
  <si>
    <t>PROSOFT VITE&amp;PROVITB5 W 72 BAG ZELENI</t>
  </si>
  <si>
    <t>UNAC BABY LOTION&amp;VIT.E AL.FREE W 120 BAG</t>
  </si>
  <si>
    <t>DOVE BABY RICHMOISTURE ALC.FREE W 50 BAG</t>
  </si>
  <si>
    <t>DOVE BABY SENSITIVE MOISTURE W 50 BAG</t>
  </si>
  <si>
    <t>BEBECAN BABY PH5.5 W 72 BAG YESIL</t>
  </si>
  <si>
    <t xml:space="preserve"> Nova Garbagnate</t>
  </si>
  <si>
    <t xml:space="preserve"> BeneCare</t>
  </si>
  <si>
    <t xml:space="preserve"> VigaLife</t>
  </si>
  <si>
    <t xml:space="preserve"> Intelligent Initiative</t>
  </si>
  <si>
    <t xml:space="preserve"> BroadLeaf Group</t>
  </si>
  <si>
    <t xml:space="preserve"> ArborChemistry</t>
  </si>
  <si>
    <t xml:space="preserve"> ArkPapers</t>
  </si>
  <si>
    <t xml:space="preserve"> Arkana PaperCraft</t>
  </si>
  <si>
    <t xml:space="preserve"> Fragrantium S.A.</t>
  </si>
  <si>
    <t xml:space="preserve"> ArsenicChem</t>
  </si>
  <si>
    <t xml:space="preserve"> Creativa Worldwide</t>
  </si>
  <si>
    <t xml:space="preserve"> CultureSana</t>
  </si>
  <si>
    <t xml:space="preserve"> Ataman Industries</t>
  </si>
  <si>
    <t xml:space="preserve"> AxisOn Group</t>
  </si>
  <si>
    <t xml:space="preserve"> PureAim Cleaners</t>
  </si>
  <si>
    <t xml:space="preserve"> AlpineMeadow</t>
  </si>
  <si>
    <t xml:space="preserve"> BioRealm Corp</t>
  </si>
  <si>
    <t xml:space="preserve"> TradeKing Cengiz</t>
  </si>
  <si>
    <t xml:space="preserve"> ClearSight</t>
  </si>
  <si>
    <t xml:space="preserve"> CodeInt B.V.</t>
  </si>
  <si>
    <t xml:space="preserve"> ChillClean</t>
  </si>
  <si>
    <t xml:space="preserve"> Cosmopolitan Italy</t>
  </si>
  <si>
    <t xml:space="preserve"> CottonUnion</t>
  </si>
  <si>
    <t xml:space="preserve"> EnkaHygiene</t>
  </si>
  <si>
    <t xml:space="preserve"> ErusHealth Products</t>
  </si>
  <si>
    <t xml:space="preserve"> Esburg Health</t>
  </si>
  <si>
    <t xml:space="preserve"> SCProducts</t>
  </si>
  <si>
    <t xml:space="preserve"> EssentialsCo</t>
  </si>
  <si>
    <t xml:space="preserve"> EveCraft</t>
  </si>
  <si>
    <t xml:space="preserve"> FemmeBeauty</t>
  </si>
  <si>
    <t xml:space="preserve"> Fulya Beauty</t>
  </si>
  <si>
    <t xml:space="preserve"> Grace Corp</t>
  </si>
  <si>
    <t xml:space="preserve"> SouthernGroup SP</t>
  </si>
  <si>
    <t xml:space="preserve"> AvellinoGroup SRL</t>
  </si>
  <si>
    <t xml:space="preserve"> RoseBeauty</t>
  </si>
  <si>
    <t xml:space="preserve"> CleanHarper</t>
  </si>
  <si>
    <t xml:space="preserve"> LifeChem</t>
  </si>
  <si>
    <t xml:space="preserve"> MountainMedicine</t>
  </si>
  <si>
    <t xml:space="preserve"> Swift GMBH</t>
  </si>
  <si>
    <t xml:space="preserve"> InsideGlobal</t>
  </si>
  <si>
    <t xml:space="preserve"> CelticWind Ltd</t>
  </si>
  <si>
    <t xml:space="preserve"> JellyHealth</t>
  </si>
  <si>
    <t xml:space="preserve"> Thomson &amp; Thomson</t>
  </si>
  <si>
    <t xml:space="preserve"> KalesCo</t>
  </si>
  <si>
    <t xml:space="preserve"> CapPlus</t>
  </si>
  <si>
    <t xml:space="preserve"> BrothersFlyProducts SAN A.S.</t>
  </si>
  <si>
    <t xml:space="preserve"> Snowball Cologne</t>
  </si>
  <si>
    <t xml:space="preserve"> Kimberly Stone</t>
  </si>
  <si>
    <t xml:space="preserve"> OliveTree S.A.</t>
  </si>
  <si>
    <t xml:space="preserve"> CosmicChem</t>
  </si>
  <si>
    <t xml:space="preserve"> LabExpand</t>
  </si>
  <si>
    <t xml:space="preserve"> LansinLab Inc</t>
  </si>
  <si>
    <t xml:space="preserve"> Lara Beauty</t>
  </si>
  <si>
    <t xml:space="preserve"> LeaderHealthFood</t>
  </si>
  <si>
    <t xml:space="preserve"> GlobalMap</t>
  </si>
  <si>
    <t xml:space="preserve"> PrimeBrands Marketing B.V.</t>
  </si>
  <si>
    <t xml:space="preserve"> Giga S.A.</t>
  </si>
  <si>
    <t xml:space="preserve"> MontraWorld</t>
  </si>
  <si>
    <t xml:space="preserve"> Moratex Group / Tobi MegaGroup LTD</t>
  </si>
  <si>
    <t xml:space="preserve"> MoreBeauty</t>
  </si>
  <si>
    <t xml:space="preserve"> NaturalCo AB</t>
  </si>
  <si>
    <t xml:space="preserve"> Voyage Turkey</t>
  </si>
  <si>
    <t xml:space="preserve"> Nur Food Industry</t>
  </si>
  <si>
    <t xml:space="preserve"> O-Package S.R.L.</t>
  </si>
  <si>
    <t xml:space="preserve"> OnTop</t>
  </si>
  <si>
    <t xml:space="preserve"> CrescentTextile SAN</t>
  </si>
  <si>
    <t xml:space="preserve"> PakChem</t>
  </si>
  <si>
    <t xml:space="preserve"> Daisy Cotton Cosmetics</t>
  </si>
  <si>
    <t xml:space="preserve"> IdealGroup</t>
  </si>
  <si>
    <t xml:space="preserve"> PhoenixMedicine DOO</t>
  </si>
  <si>
    <t xml:space="preserve"> FabreStone</t>
  </si>
  <si>
    <t xml:space="preserve"> Pyramid72 DOO</t>
  </si>
  <si>
    <t xml:space="preserve"> PreDone</t>
  </si>
  <si>
    <t xml:space="preserve"> ProStart 97</t>
  </si>
  <si>
    <t xml:space="preserve"> Proctor &amp; Wager</t>
  </si>
  <si>
    <t xml:space="preserve"> PuigPeak</t>
  </si>
  <si>
    <t xml:space="preserve"> QueenTrade LTD</t>
  </si>
  <si>
    <t xml:space="preserve"> ColorSan</t>
  </si>
  <si>
    <t xml:space="preserve"> SanHealth LTD</t>
  </si>
  <si>
    <t xml:space="preserve"> SaproClean</t>
  </si>
  <si>
    <t xml:space="preserve"> EuroPack Communications SRL</t>
  </si>
  <si>
    <t xml:space="preserve"> SigmaKappaZeta Co.</t>
  </si>
  <si>
    <t xml:space="preserve"> SebaMedicines</t>
  </si>
  <si>
    <t xml:space="preserve"> SignalTrade</t>
  </si>
  <si>
    <t xml:space="preserve"> SepaTextiles</t>
  </si>
  <si>
    <t xml:space="preserve"> SeptOn SA</t>
  </si>
  <si>
    <t xml:space="preserve"> LovelyCo</t>
  </si>
  <si>
    <t xml:space="preserve"> Quake S.P.A.</t>
  </si>
  <si>
    <t xml:space="preserve"> HappyBeauty A.S.</t>
  </si>
  <si>
    <t xml:space="preserve"> QueenStand Investment</t>
  </si>
  <si>
    <t xml:space="preserve"> BladeSon LTD</t>
  </si>
  <si>
    <t xml:space="preserve"> TahaChem Cosmetics</t>
  </si>
  <si>
    <t xml:space="preserve"> TextileSan</t>
  </si>
  <si>
    <t xml:space="preserve"> FoodTNCR</t>
  </si>
  <si>
    <t xml:space="preserve"> TroyBeauty Trade</t>
  </si>
  <si>
    <t xml:space="preserve"> Unac Beauty Makers SAN.</t>
  </si>
  <si>
    <t xml:space="preserve"> UniHandle</t>
  </si>
  <si>
    <t xml:space="preserve"> GreenIlgaz Group</t>
  </si>
  <si>
    <t>OKIDOKI  FreshClean CAMOMILLA 60 BAG</t>
  </si>
  <si>
    <t>SLEEPY  FreshClean 90 W BAG KAPAK</t>
  </si>
  <si>
    <t>PAW PATROL  FreshClean 56 W BAG</t>
  </si>
  <si>
    <t>KOPRINA  FreshClean 72 W BAG KAPAK</t>
  </si>
  <si>
    <t>PRIMA  FreshClean ALOE W 64 BAG</t>
  </si>
  <si>
    <t>SPRING LINE  FreshClean W 120 BAG &amp;&amp;&amp;</t>
  </si>
  <si>
    <t>TOVA  FreshClean PH5.5 W 120 BAG</t>
  </si>
  <si>
    <t>ClearSight BABY ALOE VERA PH5.5 W 25 BAG</t>
  </si>
  <si>
    <t>ClearSight BABY CALENDULA PH5.5 W 25 BAG</t>
  </si>
  <si>
    <t>ClearSight BABY CHAMOMILE PH5.5 W 25 BAG</t>
  </si>
  <si>
    <t>ClearSight BABY CHAMOMILE PH5.5 W 66 BAG</t>
  </si>
  <si>
    <t>ClearSight BABY ALOE VERA PH5.5 W 80 BAG</t>
  </si>
  <si>
    <t>ClearSight BABY CALENDULA PH5.5 W 80 BAG</t>
  </si>
  <si>
    <t>ClearSight BABY CHAMOMILE PH5.5 W 80 BAG</t>
  </si>
  <si>
    <t>2022 Value</t>
  </si>
  <si>
    <t>2023 Value</t>
  </si>
  <si>
    <t>YTD 24 Value</t>
  </si>
  <si>
    <t>2022 Volume</t>
  </si>
  <si>
    <t>2023 Volume</t>
  </si>
  <si>
    <t>YTD 24 Volume</t>
  </si>
  <si>
    <t>Manufacturer</t>
  </si>
  <si>
    <t>Brand</t>
  </si>
  <si>
    <t xml:space="preserve">BABY CREMA </t>
  </si>
  <si>
    <t xml:space="preserve">LINDY </t>
  </si>
  <si>
    <t xml:space="preserve">HUGGLO </t>
  </si>
  <si>
    <t xml:space="preserve">PAPILION </t>
  </si>
  <si>
    <t xml:space="preserve">PINE </t>
  </si>
  <si>
    <t xml:space="preserve">TROMPY </t>
  </si>
  <si>
    <t xml:space="preserve">HAPPY FRESH </t>
  </si>
  <si>
    <t xml:space="preserve">ULTRA COMPACT </t>
  </si>
  <si>
    <t xml:space="preserve">CHICCO </t>
  </si>
  <si>
    <t xml:space="preserve">UNI </t>
  </si>
  <si>
    <t xml:space="preserve">SMILE </t>
  </si>
  <si>
    <t xml:space="preserve">BABY CARE </t>
  </si>
  <si>
    <t xml:space="preserve">OKIDOKI </t>
  </si>
  <si>
    <t xml:space="preserve">BABY WISH </t>
  </si>
  <si>
    <t xml:space="preserve">AQUELLA </t>
  </si>
  <si>
    <t xml:space="preserve">AURA </t>
  </si>
  <si>
    <t xml:space="preserve">COTTON BABY </t>
  </si>
  <si>
    <t xml:space="preserve">MY COMFORT </t>
  </si>
  <si>
    <t xml:space="preserve">NICE BABY </t>
  </si>
  <si>
    <t xml:space="preserve">WINEX </t>
  </si>
  <si>
    <t xml:space="preserve">PADDLERS </t>
  </si>
  <si>
    <t xml:space="preserve">YESS BABY </t>
  </si>
  <si>
    <t xml:space="preserve">ELAN </t>
  </si>
  <si>
    <t xml:space="preserve">SETABLU </t>
  </si>
  <si>
    <t xml:space="preserve">LIBERO </t>
  </si>
  <si>
    <t xml:space="preserve">EVY BABY </t>
  </si>
  <si>
    <t xml:space="preserve">FEMOLE </t>
  </si>
  <si>
    <t xml:space="preserve">BERFINY </t>
  </si>
  <si>
    <t xml:space="preserve">FRESH RUNY </t>
  </si>
  <si>
    <t xml:space="preserve">LIO FRESH </t>
  </si>
  <si>
    <t xml:space="preserve">NEMDIL </t>
  </si>
  <si>
    <t xml:space="preserve">NAPEEZ BY GRACIA </t>
  </si>
  <si>
    <t xml:space="preserve">MIKE LINE </t>
  </si>
  <si>
    <t xml:space="preserve">PONKY </t>
  </si>
  <si>
    <t xml:space="preserve">POZZY </t>
  </si>
  <si>
    <t xml:space="preserve">CLEANIC </t>
  </si>
  <si>
    <t xml:space="preserve">PETINO </t>
  </si>
  <si>
    <t xml:space="preserve">MOLFIX </t>
  </si>
  <si>
    <t xml:space="preserve">HIMALAYA </t>
  </si>
  <si>
    <t xml:space="preserve">BIONIKE </t>
  </si>
  <si>
    <t xml:space="preserve">WATER WIPES </t>
  </si>
  <si>
    <t xml:space="preserve">PAW PATROL </t>
  </si>
  <si>
    <t xml:space="preserve">PEPPA PIG </t>
  </si>
  <si>
    <t xml:space="preserve">JOHNSONS </t>
  </si>
  <si>
    <t xml:space="preserve">MAIA </t>
  </si>
  <si>
    <t xml:space="preserve">KRISPA </t>
  </si>
  <si>
    <t xml:space="preserve">HUGGIES </t>
  </si>
  <si>
    <t xml:space="preserve">KOMILI </t>
  </si>
  <si>
    <t xml:space="preserve">TANGO </t>
  </si>
  <si>
    <t xml:space="preserve">MUSTELA </t>
  </si>
  <si>
    <t xml:space="preserve">LANSINOH </t>
  </si>
  <si>
    <t xml:space="preserve">PUFY </t>
  </si>
  <si>
    <t xml:space="preserve">TOP BLITZ </t>
  </si>
  <si>
    <t xml:space="preserve">CONFY </t>
  </si>
  <si>
    <t xml:space="preserve">MIMOSA </t>
  </si>
  <si>
    <t xml:space="preserve">L'UNICO </t>
  </si>
  <si>
    <t xml:space="preserve">BIG SOFT </t>
  </si>
  <si>
    <t xml:space="preserve">MORS </t>
  </si>
  <si>
    <t xml:space="preserve">WIPEST </t>
  </si>
  <si>
    <t xml:space="preserve">NATY </t>
  </si>
  <si>
    <t xml:space="preserve">FRESH BABY </t>
  </si>
  <si>
    <t xml:space="preserve">GOLDEN </t>
  </si>
  <si>
    <t xml:space="preserve">MY FIX </t>
  </si>
  <si>
    <t xml:space="preserve">PUFFY </t>
  </si>
  <si>
    <t xml:space="preserve">TITO </t>
  </si>
  <si>
    <t xml:space="preserve">SPEEDY CARE </t>
  </si>
  <si>
    <t xml:space="preserve">CAN BEBE </t>
  </si>
  <si>
    <t xml:space="preserve">KOPRINA </t>
  </si>
  <si>
    <t xml:space="preserve">BEBIKO </t>
  </si>
  <si>
    <t xml:space="preserve">PAPATYA </t>
  </si>
  <si>
    <t xml:space="preserve">PERFETTO </t>
  </si>
  <si>
    <t xml:space="preserve">BETTY </t>
  </si>
  <si>
    <t xml:space="preserve">KLORANE </t>
  </si>
  <si>
    <t xml:space="preserve">SLIPP </t>
  </si>
  <si>
    <t xml:space="preserve">MELANI </t>
  </si>
  <si>
    <t xml:space="preserve">PRIMA </t>
  </si>
  <si>
    <t xml:space="preserve">URIAGE </t>
  </si>
  <si>
    <t xml:space="preserve">BIMBO &amp; BIMBA </t>
  </si>
  <si>
    <t xml:space="preserve">VIBELLE </t>
  </si>
  <si>
    <t xml:space="preserve">BELUX </t>
  </si>
  <si>
    <t xml:space="preserve">SECKIN </t>
  </si>
  <si>
    <t xml:space="preserve">SOFT CARE </t>
  </si>
  <si>
    <t xml:space="preserve">HOPS </t>
  </si>
  <si>
    <t xml:space="preserve">MEDPROFFESIONAL </t>
  </si>
  <si>
    <t xml:space="preserve">SPRING LINE </t>
  </si>
  <si>
    <t xml:space="preserve">GIAN </t>
  </si>
  <si>
    <t xml:space="preserve">SEBAMED </t>
  </si>
  <si>
    <t xml:space="preserve">MAMMI </t>
  </si>
  <si>
    <t xml:space="preserve">ASALI </t>
  </si>
  <si>
    <t xml:space="preserve">COTTON SOFT </t>
  </si>
  <si>
    <t xml:space="preserve">ELVIM </t>
  </si>
  <si>
    <t xml:space="preserve">FLAMINGO </t>
  </si>
  <si>
    <t xml:space="preserve">SEPTONA </t>
  </si>
  <si>
    <t xml:space="preserve">IASSMIN </t>
  </si>
  <si>
    <t xml:space="preserve">JUNIOR &amp; TOMMY </t>
  </si>
  <si>
    <t xml:space="preserve">NIKI </t>
  </si>
  <si>
    <t xml:space="preserve">PEPINO </t>
  </si>
  <si>
    <t xml:space="preserve">RENKLI </t>
  </si>
  <si>
    <t xml:space="preserve">FARMACOTONE </t>
  </si>
  <si>
    <t xml:space="preserve">VOI </t>
  </si>
  <si>
    <t xml:space="preserve">TOVA </t>
  </si>
  <si>
    <t xml:space="preserve">ALVESTA </t>
  </si>
  <si>
    <t xml:space="preserve">MIS MAK </t>
  </si>
  <si>
    <t xml:space="preserve">DAISY </t>
  </si>
  <si>
    <t xml:space="preserve">BEBECAN </t>
  </si>
  <si>
    <t xml:space="preserve">HUGO BABY </t>
  </si>
  <si>
    <t xml:space="preserve">PROSOFT </t>
  </si>
  <si>
    <t xml:space="preserve">UNAC </t>
  </si>
  <si>
    <t xml:space="preserve">DOVE </t>
  </si>
  <si>
    <t>BABY2000</t>
  </si>
  <si>
    <t>BAMBO NATURE</t>
  </si>
  <si>
    <t>LUBA BABY</t>
  </si>
  <si>
    <t>KANZ</t>
  </si>
  <si>
    <t>EVENT BABY</t>
  </si>
  <si>
    <t>TEX BABY</t>
  </si>
  <si>
    <t>NIVEA BABY</t>
  </si>
  <si>
    <t>BABYCARE</t>
  </si>
  <si>
    <t>CLEAR SIGHT</t>
  </si>
  <si>
    <t>MIMI NICE</t>
  </si>
  <si>
    <t>PURE BABY</t>
  </si>
  <si>
    <t>SLEEPY BABY</t>
  </si>
  <si>
    <t>BIVY</t>
  </si>
  <si>
    <t>SWEET  BABY</t>
  </si>
  <si>
    <t>INCI FRESH</t>
  </si>
  <si>
    <t>DOCTOR WIPES</t>
  </si>
  <si>
    <t>PAMPERS</t>
  </si>
  <si>
    <t>PREMIUM QUALITY BABY</t>
  </si>
  <si>
    <t>KIDS BABY</t>
  </si>
  <si>
    <t>HAPPY ALOE VERA</t>
  </si>
  <si>
    <t>FRESH MAKER</t>
  </si>
  <si>
    <t>PRIME TALKO</t>
  </si>
  <si>
    <t>HIPP BABYSANFT</t>
  </si>
  <si>
    <t>FRESH'N SOFT</t>
  </si>
  <si>
    <t>RENKLY</t>
  </si>
  <si>
    <t>LARA BABY</t>
  </si>
  <si>
    <t>BABY LINO</t>
  </si>
  <si>
    <t>HAPPY FAMILY</t>
  </si>
  <si>
    <t>SENCE BABY</t>
  </si>
  <si>
    <t>PUFY BABY</t>
  </si>
  <si>
    <t>Package</t>
  </si>
  <si>
    <t>Product Attributes</t>
  </si>
  <si>
    <t>Size</t>
  </si>
  <si>
    <t>Product Description</t>
  </si>
  <si>
    <t>Row Labels</t>
  </si>
  <si>
    <t>Grand Total</t>
  </si>
  <si>
    <t>Sum of 2023 Value</t>
  </si>
  <si>
    <t>Sum of 2022 Value</t>
  </si>
  <si>
    <t>Sum of 2022 Volume</t>
  </si>
  <si>
    <t>Sum of 2023 Volume</t>
  </si>
  <si>
    <t>Sum of YTD 24 Volume</t>
  </si>
  <si>
    <t>YoY Growth %</t>
  </si>
  <si>
    <t>Value growth</t>
  </si>
  <si>
    <t>Sum of Value growth</t>
  </si>
  <si>
    <t>(blank)</t>
  </si>
  <si>
    <t>Sum of Volume Drop</t>
  </si>
  <si>
    <t>Volume Drop bwt 2023 to 2025</t>
  </si>
  <si>
    <t>Volumn drop 2022 to 2023</t>
  </si>
  <si>
    <t>Sum of Volumn drop 2022 to 2023</t>
  </si>
  <si>
    <t>Sum of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</si>
</sst>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0"/>
  </numFmts>
  <fonts count="7" x14ac:knownFonts="1">
    <font>
      <sz val="11"/>
      <color theme="1"/>
      <name val="Calibri"/>
      <family val="2"/>
      <scheme val="minor"/>
    </font>
    <font>
      <sz val="10"/>
      <color rgb="FF000000"/>
      <name val="Arial"/>
      <family val="2"/>
    </font>
    <font>
      <sz val="11"/>
      <color theme="3"/>
      <name val="Calibri"/>
      <family val="2"/>
      <scheme val="minor"/>
    </font>
    <font>
      <sz val="10"/>
      <color theme="3"/>
      <name val="Arial"/>
      <family val="2"/>
    </font>
    <font>
      <b/>
      <sz val="10"/>
      <color theme="1"/>
      <name val="Arial"/>
      <family val="2"/>
    </font>
    <font>
      <b/>
      <sz val="11"/>
      <color theme="1"/>
      <name val="Arial"/>
      <family val="2"/>
    </font>
    <font>
      <sz val="11"/>
      <color theme="8" tint="-0.249977111117893"/>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2" fontId="0" fillId="0" borderId="0" xfId="0" applyNumberFormat="1"/>
    <xf numFmtId="39" fontId="1" fillId="2" borderId="1" xfId="0" applyNumberFormat="1" applyFont="1" applyFill="1" applyBorder="1" applyAlignment="1">
      <alignment horizontal="right" wrapText="1"/>
    </xf>
    <xf numFmtId="0" fontId="3" fillId="3" borderId="1" xfId="0" applyFont="1" applyFill="1" applyBorder="1" applyAlignment="1">
      <alignment horizontal="left" wrapText="1"/>
    </xf>
    <xf numFmtId="0" fontId="3" fillId="3" borderId="1" xfId="0" applyFont="1" applyFill="1" applyBorder="1" applyAlignment="1">
      <alignment horizontal="right" wrapText="1"/>
    </xf>
    <xf numFmtId="0" fontId="2" fillId="3" borderId="1" xfId="0" applyFont="1" applyFill="1" applyBorder="1"/>
    <xf numFmtId="0" fontId="1" fillId="2" borderId="1" xfId="0" applyFont="1" applyFill="1" applyBorder="1" applyAlignment="1">
      <alignment horizontal="left" wrapText="1"/>
    </xf>
    <xf numFmtId="49" fontId="1" fillId="2" borderId="1" xfId="0" applyNumberFormat="1" applyFont="1" applyFill="1" applyBorder="1" applyAlignment="1">
      <alignment horizontal="left" wrapText="1" indent="2"/>
    </xf>
    <xf numFmtId="49" fontId="1" fillId="2" borderId="1" xfId="0" applyNumberFormat="1" applyFont="1" applyFill="1" applyBorder="1" applyAlignment="1">
      <alignment horizontal="left" wrapText="1"/>
    </xf>
    <xf numFmtId="0" fontId="0" fillId="0" borderId="0" xfId="0" pivotButton="1"/>
    <xf numFmtId="0" fontId="0" fillId="0" borderId="0" xfId="0" applyAlignment="1">
      <alignment horizontal="left"/>
    </xf>
    <xf numFmtId="39" fontId="0" fillId="0" borderId="0" xfId="0" applyNumberFormat="1"/>
    <xf numFmtId="49" fontId="4" fillId="0" borderId="1" xfId="0" applyNumberFormat="1" applyFont="1" applyBorder="1" applyAlignment="1">
      <alignment vertical="center" wrapText="1"/>
    </xf>
    <xf numFmtId="0" fontId="4" fillId="3" borderId="1" xfId="0" applyFont="1" applyFill="1" applyBorder="1" applyAlignment="1">
      <alignment vertical="center" wrapText="1"/>
    </xf>
    <xf numFmtId="0" fontId="4" fillId="0" borderId="1" xfId="0" applyFont="1" applyBorder="1" applyAlignment="1">
      <alignment vertical="center" wrapText="1"/>
    </xf>
    <xf numFmtId="2" fontId="4" fillId="0" borderId="1" xfId="0" applyNumberFormat="1" applyFont="1" applyBorder="1" applyAlignment="1">
      <alignment vertical="center" wrapText="1"/>
    </xf>
    <xf numFmtId="164" fontId="4" fillId="2" borderId="1" xfId="0" applyNumberFormat="1" applyFont="1" applyFill="1" applyBorder="1" applyAlignment="1">
      <alignment horizontal="center" wrapText="1"/>
    </xf>
    <xf numFmtId="0" fontId="5" fillId="0" borderId="1" xfId="0" applyFont="1" applyBorder="1"/>
    <xf numFmtId="165" fontId="0" fillId="0" borderId="0" xfId="0" applyNumberFormat="1"/>
    <xf numFmtId="0" fontId="0" fillId="0" borderId="0" xfId="0" applyAlignment="1">
      <alignment horizontal="left" indent="1"/>
    </xf>
    <xf numFmtId="2" fontId="0" fillId="0" borderId="1" xfId="0" applyNumberFormat="1" applyBorder="1"/>
    <xf numFmtId="39" fontId="0" fillId="0" borderId="1" xfId="0" applyNumberFormat="1" applyBorder="1"/>
    <xf numFmtId="0" fontId="0" fillId="0" borderId="1" xfId="0" applyBorder="1"/>
    <xf numFmtId="0" fontId="6" fillId="4" borderId="0" xfId="0" applyFont="1" applyFill="1"/>
  </cellXfs>
  <cellStyles count="1">
    <cellStyle name="Normal" xfId="0" builtinId="0"/>
  </cellStyles>
  <dxfs count="5">
    <dxf>
      <fill>
        <patternFill>
          <bgColor theme="5"/>
        </patternFill>
      </fill>
    </dxf>
    <dxf>
      <numFmt numFmtId="165" formatCode="0.0000"/>
    </dxf>
    <dxf>
      <numFmt numFmtId="2" formatCode="0.00"/>
    </dxf>
    <dxf>
      <fill>
        <patternFill>
          <bgColor theme="9" tint="0.59996337778862885"/>
        </patternFill>
      </fill>
    </dxf>
    <dxf>
      <font>
        <name val="Calibri Light"/>
        <family val="2"/>
        <scheme val="major"/>
      </font>
      <fill>
        <patternFill>
          <bgColor theme="0" tint="-0.24994659260841701"/>
        </patternFill>
      </fill>
    </dxf>
  </dxfs>
  <tableStyles count="3" defaultTableStyle="TableStyleMedium2" defaultPivotStyle="PivotStyleLight16">
    <tableStyle name="Slicer Style 1" pivot="0" table="0" count="3" xr9:uid="{4845C058-9DEA-478A-8B51-292020886E59}">
      <tableStyleElement type="wholeTable" dxfId="4"/>
    </tableStyle>
    <tableStyle name="Slicer Style 2" pivot="0" table="0" count="3" xr9:uid="{E4CB339D-316C-47B2-A788-D8FEF687E79B}">
      <tableStyleElement type="wholeTable" dxfId="3"/>
    </tableStyle>
    <tableStyle name="Slicer Style 3" pivot="0" table="0" count="1" xr9:uid="{B929AE4B-D295-49DF-944E-CD55F6005570}">
      <tableStyleElement type="wholeTable" dxfId="0"/>
    </tableStyle>
  </tableStyles>
  <colors>
    <mruColors>
      <color rgb="FF0099CC"/>
      <color rgb="FF0066FF"/>
      <color rgb="FFA50021"/>
      <color rgb="FFC88800"/>
      <color rgb="FFFF5050"/>
      <color rgb="FFFF9966"/>
      <color rgb="FFCC0000"/>
      <color rgb="FFFF9999"/>
    </mruColors>
  </colors>
  <extLst>
    <ext xmlns:x14="http://schemas.microsoft.com/office/spreadsheetml/2009/9/main" uri="{46F421CA-312F-682f-3DD2-61675219B42D}">
      <x14:dxfs count="4">
        <dxf>
          <fill>
            <patternFill>
              <bgColor theme="0" tint="-0.14996795556505021"/>
            </patternFill>
          </fill>
        </dxf>
        <dxf>
          <fill>
            <patternFill>
              <bgColor theme="9" tint="-0.24994659260841701"/>
            </patternFill>
          </fill>
        </dxf>
        <dxf>
          <fill>
            <patternFill>
              <bgColor theme="0"/>
            </patternFill>
          </fill>
        </dxf>
        <dxf>
          <font>
            <color theme="0"/>
          </font>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selectedItemWithNoData" dxfId="2"/>
          </x14:slicerStyleElements>
        </x14:slicerStyle>
        <x14:slicerStyle name="Slicer Style 2">
          <x14:slicerStyleElements>
            <x14:slicerStyleElement type="selectedItemWithData" dxfId="1"/>
            <x14:slicerStyleElement type="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[BabyCareAnalysis.xlsx]2022 to 2023 value growthdrop!PivotTable2</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2022 to 2023 value growth &amp; drop </a:t>
            </a:r>
          </a:p>
        </c:rich>
      </c:tx>
      <c:layout>
        <c:manualLayout>
          <c:xMode val="edge"/>
          <c:yMode val="edge"/>
          <c:x val="0.33013722116497674"/>
          <c:y val="0.11712344811431248"/>
        </c:manualLayout>
      </c:layout>
      <c:overlay val="0"/>
      <c:spPr>
        <a:noFill/>
        <a:ln>
          <a:noFill/>
        </a:ln>
        <a:effectLst/>
      </c:sp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rgbClr val="A50021"/>
            </a:solidFill>
            <a:ln w="9525">
              <a:solidFill>
                <a:schemeClr val="accent2"/>
              </a:solidFill>
            </a:ln>
            <a:effectLst/>
          </c:spPr>
        </c:marker>
        <c:dLbl>
          <c:idx val="0"/>
          <c:delete val="1"/>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rgbClr val="A50021"/>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rgbClr val="A50021"/>
            </a:solidFill>
            <a:ln w="9525">
              <a:solidFill>
                <a:schemeClr val="accent2"/>
              </a:solidFill>
            </a:ln>
            <a:effectLst/>
          </c:spPr>
        </c:marker>
        <c:dLbl>
          <c:idx val="0"/>
          <c:delete val="1"/>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rgbClr val="A50021"/>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'2022 to 2023 value growthdrop'!$B$3</c:f>
              <c:strCache>
                <c:ptCount val="1"/>
                <c:pt idx="0">
                  <c:v>Total</c:v>
                </c:pt>
              </c:strCache>
            </c:strRef>
          </c:tx>
          <c:spPr>
            <a:ln w="28575" cap="rnd">
              <a:solidFill>
                <a:schemeClr val="accent2"/>
              </a:solidFill>
              <a:round/>
            </a:ln>
            <a:effectLst/>
          </c:spPr>
          <c:marker>
            <c:symbol val="circle"/>
            <c:size val="5"/>
            <c:spPr>
              <a:solidFill>
                <a:srgbClr val="A50021"/>
              </a:solidFill>
              <a:ln w="9525">
                <a:solidFill>
                  <a:schemeClr val="accent2"/>
                </a:solidFill>
              </a:ln>
              <a:effectLst/>
            </c:spPr>
          </c:marker>
          <c:cat>
            <c:strRef>
              <c:f>'2022 to 2023 value growthdrop'!$A$4:$A$144</c:f>
              <c:strCache>
                <c:ptCount val="140"/>
                <c:pt idx="0">
                  <c:v>ALVESTA </c:v>
                </c:pt>
                <c:pt idx="1">
                  <c:v>AQUELLA </c:v>
                </c:pt>
                <c:pt idx="2">
                  <c:v>ASALI </c:v>
                </c:pt>
                <c:pt idx="3">
                  <c:v>AURA </c:v>
                </c:pt>
                <c:pt idx="4">
                  <c:v>BABY CARE </c:v>
                </c:pt>
                <c:pt idx="5">
                  <c:v>BABY CREMA </c:v>
                </c:pt>
                <c:pt idx="6">
                  <c:v>BABY LINO</c:v>
                </c:pt>
                <c:pt idx="7">
                  <c:v>BABY WISH </c:v>
                </c:pt>
                <c:pt idx="8">
                  <c:v>BABY2000</c:v>
                </c:pt>
                <c:pt idx="9">
                  <c:v>BABYCARE</c:v>
                </c:pt>
                <c:pt idx="10">
                  <c:v>BAMBO NATURE</c:v>
                </c:pt>
                <c:pt idx="11">
                  <c:v>BEBECAN </c:v>
                </c:pt>
                <c:pt idx="12">
                  <c:v>BEBIKO </c:v>
                </c:pt>
                <c:pt idx="13">
                  <c:v>BELUX </c:v>
                </c:pt>
                <c:pt idx="14">
                  <c:v>BERFINY </c:v>
                </c:pt>
                <c:pt idx="15">
                  <c:v>BETTY </c:v>
                </c:pt>
                <c:pt idx="16">
                  <c:v>BIG SOFT </c:v>
                </c:pt>
                <c:pt idx="17">
                  <c:v>BIMBO &amp; BIMBA </c:v>
                </c:pt>
                <c:pt idx="18">
                  <c:v>BIONIKE </c:v>
                </c:pt>
                <c:pt idx="19">
                  <c:v>BIVY</c:v>
                </c:pt>
                <c:pt idx="20">
                  <c:v>CAN BEBE </c:v>
                </c:pt>
                <c:pt idx="21">
                  <c:v>CHICCO </c:v>
                </c:pt>
                <c:pt idx="22">
                  <c:v>CLEANIC </c:v>
                </c:pt>
                <c:pt idx="23">
                  <c:v>CLEAR SIGHT</c:v>
                </c:pt>
                <c:pt idx="24">
                  <c:v>CONFY </c:v>
                </c:pt>
                <c:pt idx="25">
                  <c:v>COSMI</c:v>
                </c:pt>
                <c:pt idx="26">
                  <c:v>COTTON BABY </c:v>
                </c:pt>
                <c:pt idx="27">
                  <c:v>COTTON SOFT </c:v>
                </c:pt>
                <c:pt idx="28">
                  <c:v>DAISY </c:v>
                </c:pt>
                <c:pt idx="29">
                  <c:v>DOCTOR WIPES</c:v>
                </c:pt>
                <c:pt idx="30">
                  <c:v>DOVE </c:v>
                </c:pt>
                <c:pt idx="31">
                  <c:v>ELAN </c:v>
                </c:pt>
                <c:pt idx="32">
                  <c:v>ELVIM </c:v>
                </c:pt>
                <c:pt idx="33">
                  <c:v>EVENT BABY</c:v>
                </c:pt>
                <c:pt idx="34">
                  <c:v>EVY BABY </c:v>
                </c:pt>
                <c:pt idx="35">
                  <c:v>FARMACOTONE </c:v>
                </c:pt>
                <c:pt idx="36">
                  <c:v>FEMOLE </c:v>
                </c:pt>
                <c:pt idx="37">
                  <c:v>FLAMINGO </c:v>
                </c:pt>
                <c:pt idx="38">
                  <c:v>FRESH BABY </c:v>
                </c:pt>
                <c:pt idx="39">
                  <c:v>FRESH MAKER</c:v>
                </c:pt>
                <c:pt idx="40">
                  <c:v>FRESH RUNY </c:v>
                </c:pt>
                <c:pt idx="41">
                  <c:v>FRESH'N SOFT</c:v>
                </c:pt>
                <c:pt idx="42">
                  <c:v>GIAN </c:v>
                </c:pt>
                <c:pt idx="43">
                  <c:v>GOLDEN </c:v>
                </c:pt>
                <c:pt idx="44">
                  <c:v>HAPPY ALOE VERA</c:v>
                </c:pt>
                <c:pt idx="45">
                  <c:v>HAPPY FAMILY</c:v>
                </c:pt>
                <c:pt idx="46">
                  <c:v>HAPPY FRESH </c:v>
                </c:pt>
                <c:pt idx="47">
                  <c:v>HIMALAYA </c:v>
                </c:pt>
                <c:pt idx="48">
                  <c:v>HIPP BABYSANFT</c:v>
                </c:pt>
                <c:pt idx="49">
                  <c:v>HOPS </c:v>
                </c:pt>
                <c:pt idx="50">
                  <c:v>HUGGIES </c:v>
                </c:pt>
                <c:pt idx="51">
                  <c:v>HUGGLO </c:v>
                </c:pt>
                <c:pt idx="52">
                  <c:v>HUGO BABY </c:v>
                </c:pt>
                <c:pt idx="53">
                  <c:v>IASSMIN </c:v>
                </c:pt>
                <c:pt idx="54">
                  <c:v>INCI FRESH</c:v>
                </c:pt>
                <c:pt idx="55">
                  <c:v>JOHNSONS </c:v>
                </c:pt>
                <c:pt idx="56">
                  <c:v>JUNIOR &amp; TOMMY </c:v>
                </c:pt>
                <c:pt idx="57">
                  <c:v>KANZ</c:v>
                </c:pt>
                <c:pt idx="58">
                  <c:v>KIDS BABY</c:v>
                </c:pt>
                <c:pt idx="59">
                  <c:v>KLORANE </c:v>
                </c:pt>
                <c:pt idx="60">
                  <c:v>KOMILI </c:v>
                </c:pt>
                <c:pt idx="61">
                  <c:v>KOPRINA </c:v>
                </c:pt>
                <c:pt idx="62">
                  <c:v>KRISPA </c:v>
                </c:pt>
                <c:pt idx="63">
                  <c:v>LANSINOH </c:v>
                </c:pt>
                <c:pt idx="64">
                  <c:v>LARA BABY</c:v>
                </c:pt>
                <c:pt idx="65">
                  <c:v>LIBERO </c:v>
                </c:pt>
                <c:pt idx="66">
                  <c:v>LINDY </c:v>
                </c:pt>
                <c:pt idx="67">
                  <c:v>LIO FRESH </c:v>
                </c:pt>
                <c:pt idx="68">
                  <c:v>LUBA BABY</c:v>
                </c:pt>
                <c:pt idx="69">
                  <c:v>L'UNICO </c:v>
                </c:pt>
                <c:pt idx="70">
                  <c:v>MAIA </c:v>
                </c:pt>
                <c:pt idx="71">
                  <c:v>MAMMI </c:v>
                </c:pt>
                <c:pt idx="72">
                  <c:v>MEDPROFFESIONAL </c:v>
                </c:pt>
                <c:pt idx="73">
                  <c:v>MELANI </c:v>
                </c:pt>
                <c:pt idx="74">
                  <c:v>MIKE LINE </c:v>
                </c:pt>
                <c:pt idx="75">
                  <c:v>MIMI NICE</c:v>
                </c:pt>
                <c:pt idx="76">
                  <c:v>MIMOSA </c:v>
                </c:pt>
                <c:pt idx="77">
                  <c:v>MIS MAK </c:v>
                </c:pt>
                <c:pt idx="78">
                  <c:v>MOLFIX </c:v>
                </c:pt>
                <c:pt idx="79">
                  <c:v>MORS </c:v>
                </c:pt>
                <c:pt idx="80">
                  <c:v>MUSTELA </c:v>
                </c:pt>
                <c:pt idx="81">
                  <c:v>MY COMFORT </c:v>
                </c:pt>
                <c:pt idx="82">
                  <c:v>MY FIX </c:v>
                </c:pt>
                <c:pt idx="83">
                  <c:v>NAPEEZ BY GRACIA </c:v>
                </c:pt>
                <c:pt idx="84">
                  <c:v>NATY </c:v>
                </c:pt>
                <c:pt idx="85">
                  <c:v>NEMDIL </c:v>
                </c:pt>
                <c:pt idx="86">
                  <c:v>NICE BABY </c:v>
                </c:pt>
                <c:pt idx="87">
                  <c:v>NIKI </c:v>
                </c:pt>
                <c:pt idx="88">
                  <c:v>NIVEA BABY</c:v>
                </c:pt>
                <c:pt idx="89">
                  <c:v>OKIDOKI </c:v>
                </c:pt>
                <c:pt idx="90">
                  <c:v>PADDLERS </c:v>
                </c:pt>
                <c:pt idx="91">
                  <c:v>PAMPERS</c:v>
                </c:pt>
                <c:pt idx="92">
                  <c:v>PAPATYA </c:v>
                </c:pt>
                <c:pt idx="93">
                  <c:v>PAPILION </c:v>
                </c:pt>
                <c:pt idx="94">
                  <c:v>PAW PATROL </c:v>
                </c:pt>
                <c:pt idx="95">
                  <c:v>PEPINO </c:v>
                </c:pt>
                <c:pt idx="96">
                  <c:v>PEPPA PIG </c:v>
                </c:pt>
                <c:pt idx="97">
                  <c:v>PERFETTO </c:v>
                </c:pt>
                <c:pt idx="98">
                  <c:v>PETINO </c:v>
                </c:pt>
                <c:pt idx="99">
                  <c:v>PINE </c:v>
                </c:pt>
                <c:pt idx="100">
                  <c:v>PONKY </c:v>
                </c:pt>
                <c:pt idx="101">
                  <c:v>POZZY </c:v>
                </c:pt>
                <c:pt idx="102">
                  <c:v>PREMIUM QUALITY BABY</c:v>
                </c:pt>
                <c:pt idx="103">
                  <c:v>PRIMA </c:v>
                </c:pt>
                <c:pt idx="104">
                  <c:v>PRIME TALKO</c:v>
                </c:pt>
                <c:pt idx="105">
                  <c:v>PROSOFT </c:v>
                </c:pt>
                <c:pt idx="106">
                  <c:v>PUFFY </c:v>
                </c:pt>
                <c:pt idx="107">
                  <c:v>PUFY </c:v>
                </c:pt>
                <c:pt idx="108">
                  <c:v>PUFY BABY</c:v>
                </c:pt>
                <c:pt idx="109">
                  <c:v>PURE BABY</c:v>
                </c:pt>
                <c:pt idx="110">
                  <c:v>RENKLI </c:v>
                </c:pt>
                <c:pt idx="111">
                  <c:v>RENKLY</c:v>
                </c:pt>
                <c:pt idx="112">
                  <c:v>SEBAMED </c:v>
                </c:pt>
                <c:pt idx="113">
                  <c:v>SECKIN </c:v>
                </c:pt>
                <c:pt idx="114">
                  <c:v>SENCE BABY</c:v>
                </c:pt>
                <c:pt idx="115">
                  <c:v>SEPTONA </c:v>
                </c:pt>
                <c:pt idx="116">
                  <c:v>SETABLU </c:v>
                </c:pt>
                <c:pt idx="117">
                  <c:v>SLEEPY BABY</c:v>
                </c:pt>
                <c:pt idx="118">
                  <c:v>SLIPP </c:v>
                </c:pt>
                <c:pt idx="119">
                  <c:v>SMILE </c:v>
                </c:pt>
                <c:pt idx="120">
                  <c:v>SOFT CARE </c:v>
                </c:pt>
                <c:pt idx="121">
                  <c:v>SPEEDY CARE </c:v>
                </c:pt>
                <c:pt idx="122">
                  <c:v>SPRING LINE </c:v>
                </c:pt>
                <c:pt idx="123">
                  <c:v>SWEET  BABY</c:v>
                </c:pt>
                <c:pt idx="124">
                  <c:v>TANGO </c:v>
                </c:pt>
                <c:pt idx="125">
                  <c:v>TEX BABY</c:v>
                </c:pt>
                <c:pt idx="126">
                  <c:v>TITO </c:v>
                </c:pt>
                <c:pt idx="127">
                  <c:v>TOP BLITZ </c:v>
                </c:pt>
                <c:pt idx="128">
                  <c:v>TOVA </c:v>
                </c:pt>
                <c:pt idx="129">
                  <c:v>TROMPY </c:v>
                </c:pt>
                <c:pt idx="130">
                  <c:v>ULTRA COMPACT </c:v>
                </c:pt>
                <c:pt idx="131">
                  <c:v>UNAC </c:v>
                </c:pt>
                <c:pt idx="132">
                  <c:v>UNI </c:v>
                </c:pt>
                <c:pt idx="133">
                  <c:v>URIAGE </c:v>
                </c:pt>
                <c:pt idx="134">
                  <c:v>VIBELLE </c:v>
                </c:pt>
                <c:pt idx="135">
                  <c:v>VOI </c:v>
                </c:pt>
                <c:pt idx="136">
                  <c:v>WATER WIPES </c:v>
                </c:pt>
                <c:pt idx="137">
                  <c:v>WINEX </c:v>
                </c:pt>
                <c:pt idx="138">
                  <c:v>WIPEST </c:v>
                </c:pt>
                <c:pt idx="139">
                  <c:v>YESS BABY </c:v>
                </c:pt>
              </c:strCache>
            </c:strRef>
          </c:cat>
          <c:val>
            <c:numRef>
              <c:f>'2022 to 2023 value growthdrop'!$B$4:$B$144</c:f>
              <c:numCache>
                <c:formatCode>General</c:formatCode>
                <c:ptCount val="140"/>
                <c:pt idx="0">
                  <c:v>11.765500000000001</c:v>
                </c:pt>
                <c:pt idx="1">
                  <c:v>18.009099999999997</c:v>
                </c:pt>
                <c:pt idx="2">
                  <c:v>1.9661999999999999</c:v>
                </c:pt>
                <c:pt idx="3">
                  <c:v>4.0545</c:v>
                </c:pt>
                <c:pt idx="4">
                  <c:v>-32.48820000000002</c:v>
                </c:pt>
                <c:pt idx="5">
                  <c:v>-86.541999999999931</c:v>
                </c:pt>
                <c:pt idx="6">
                  <c:v>50.3812</c:v>
                </c:pt>
                <c:pt idx="7">
                  <c:v>-1.8077000000000001</c:v>
                </c:pt>
                <c:pt idx="8">
                  <c:v>1.3109999999999999</c:v>
                </c:pt>
                <c:pt idx="9">
                  <c:v>-3.7900000000000003E-2</c:v>
                </c:pt>
                <c:pt idx="10">
                  <c:v>1.09E-2</c:v>
                </c:pt>
                <c:pt idx="11">
                  <c:v>-0.51450000000000085</c:v>
                </c:pt>
                <c:pt idx="12">
                  <c:v>-0.79349999999999998</c:v>
                </c:pt>
                <c:pt idx="13">
                  <c:v>21.406600000000005</c:v>
                </c:pt>
                <c:pt idx="14">
                  <c:v>1.9916999999999998</c:v>
                </c:pt>
                <c:pt idx="15">
                  <c:v>1.9943999999999997</c:v>
                </c:pt>
                <c:pt idx="16">
                  <c:v>-31.5181</c:v>
                </c:pt>
                <c:pt idx="17">
                  <c:v>12.684200000000001</c:v>
                </c:pt>
                <c:pt idx="18">
                  <c:v>-6.3299999999999995E-2</c:v>
                </c:pt>
                <c:pt idx="19">
                  <c:v>21.225400000000004</c:v>
                </c:pt>
                <c:pt idx="20">
                  <c:v>-0.34839999999999999</c:v>
                </c:pt>
                <c:pt idx="21">
                  <c:v>0.9778</c:v>
                </c:pt>
                <c:pt idx="22">
                  <c:v>-3.052</c:v>
                </c:pt>
                <c:pt idx="23">
                  <c:v>-19.203699999999998</c:v>
                </c:pt>
                <c:pt idx="24">
                  <c:v>-0.46079999999999993</c:v>
                </c:pt>
                <c:pt idx="25">
                  <c:v>-0.1202</c:v>
                </c:pt>
                <c:pt idx="26">
                  <c:v>1.6358000000000001</c:v>
                </c:pt>
                <c:pt idx="27">
                  <c:v>-2.731199999999979</c:v>
                </c:pt>
                <c:pt idx="28">
                  <c:v>0</c:v>
                </c:pt>
                <c:pt idx="29">
                  <c:v>1.7048000000000001</c:v>
                </c:pt>
                <c:pt idx="30">
                  <c:v>-20.265900000000002</c:v>
                </c:pt>
                <c:pt idx="31">
                  <c:v>-170.66500000000002</c:v>
                </c:pt>
                <c:pt idx="32">
                  <c:v>24.3476</c:v>
                </c:pt>
                <c:pt idx="33">
                  <c:v>23.642999999999994</c:v>
                </c:pt>
                <c:pt idx="34">
                  <c:v>-22.611699999999999</c:v>
                </c:pt>
                <c:pt idx="35">
                  <c:v>-0.1537</c:v>
                </c:pt>
                <c:pt idx="36">
                  <c:v>9.0914000000000001</c:v>
                </c:pt>
                <c:pt idx="37">
                  <c:v>-19.032699999999998</c:v>
                </c:pt>
                <c:pt idx="38">
                  <c:v>30.122900000000001</c:v>
                </c:pt>
                <c:pt idx="39">
                  <c:v>95.630599999999987</c:v>
                </c:pt>
                <c:pt idx="40">
                  <c:v>21.844199999999997</c:v>
                </c:pt>
                <c:pt idx="41">
                  <c:v>0.30569999999999997</c:v>
                </c:pt>
                <c:pt idx="42">
                  <c:v>-46.244399999999999</c:v>
                </c:pt>
                <c:pt idx="43">
                  <c:v>-71.560200000000009</c:v>
                </c:pt>
                <c:pt idx="44">
                  <c:v>-6.88E-2</c:v>
                </c:pt>
                <c:pt idx="45">
                  <c:v>21.470699999999997</c:v>
                </c:pt>
                <c:pt idx="46">
                  <c:v>-1.8573</c:v>
                </c:pt>
                <c:pt idx="47">
                  <c:v>-2.6458000000000008</c:v>
                </c:pt>
                <c:pt idx="48">
                  <c:v>64.440300000000008</c:v>
                </c:pt>
                <c:pt idx="49">
                  <c:v>0</c:v>
                </c:pt>
                <c:pt idx="50">
                  <c:v>-19.246100000000002</c:v>
                </c:pt>
                <c:pt idx="51">
                  <c:v>0.70520000000000005</c:v>
                </c:pt>
                <c:pt idx="52">
                  <c:v>0</c:v>
                </c:pt>
                <c:pt idx="53">
                  <c:v>9.6400000000000013E-2</c:v>
                </c:pt>
                <c:pt idx="54">
                  <c:v>99.001300000000001</c:v>
                </c:pt>
                <c:pt idx="55">
                  <c:v>32.397600000000004</c:v>
                </c:pt>
                <c:pt idx="56">
                  <c:v>7.2749000000000006</c:v>
                </c:pt>
                <c:pt idx="57">
                  <c:v>-13.192</c:v>
                </c:pt>
                <c:pt idx="58">
                  <c:v>64.127299999999991</c:v>
                </c:pt>
                <c:pt idx="59">
                  <c:v>0.48560000000000003</c:v>
                </c:pt>
                <c:pt idx="60">
                  <c:v>6.0209999999999999</c:v>
                </c:pt>
                <c:pt idx="61">
                  <c:v>0</c:v>
                </c:pt>
                <c:pt idx="62">
                  <c:v>1.1900000000000001E-2</c:v>
                </c:pt>
                <c:pt idx="63">
                  <c:v>7.0000000000000001E-3</c:v>
                </c:pt>
                <c:pt idx="64">
                  <c:v>-12.47209999999999</c:v>
                </c:pt>
                <c:pt idx="65">
                  <c:v>7.4918999999999993</c:v>
                </c:pt>
                <c:pt idx="66">
                  <c:v>4.4762999999999931</c:v>
                </c:pt>
                <c:pt idx="67">
                  <c:v>5.5361000000000011</c:v>
                </c:pt>
                <c:pt idx="68">
                  <c:v>-4.4634999999999998</c:v>
                </c:pt>
                <c:pt idx="69">
                  <c:v>-6.2138</c:v>
                </c:pt>
                <c:pt idx="70">
                  <c:v>-10.2052</c:v>
                </c:pt>
                <c:pt idx="71">
                  <c:v>4.3250999999999991</c:v>
                </c:pt>
                <c:pt idx="72">
                  <c:v>14.2964</c:v>
                </c:pt>
                <c:pt idx="73">
                  <c:v>9.4796000000000049</c:v>
                </c:pt>
                <c:pt idx="74">
                  <c:v>7.4715999999999996</c:v>
                </c:pt>
                <c:pt idx="75">
                  <c:v>-7.2421000000000006</c:v>
                </c:pt>
                <c:pt idx="76">
                  <c:v>-5.6108999999999991</c:v>
                </c:pt>
                <c:pt idx="77">
                  <c:v>-1.7299999999999996E-2</c:v>
                </c:pt>
                <c:pt idx="78">
                  <c:v>-74.076999999999984</c:v>
                </c:pt>
                <c:pt idx="79">
                  <c:v>12.3179</c:v>
                </c:pt>
                <c:pt idx="80">
                  <c:v>3.6947000000000001</c:v>
                </c:pt>
                <c:pt idx="81">
                  <c:v>54.371099999999998</c:v>
                </c:pt>
                <c:pt idx="82">
                  <c:v>1.0731999999999999</c:v>
                </c:pt>
                <c:pt idx="83">
                  <c:v>-7.5597000000000012</c:v>
                </c:pt>
                <c:pt idx="84">
                  <c:v>0.27279999999999999</c:v>
                </c:pt>
                <c:pt idx="85">
                  <c:v>-19.205400000000004</c:v>
                </c:pt>
                <c:pt idx="86">
                  <c:v>9.5657999999999994</c:v>
                </c:pt>
                <c:pt idx="87">
                  <c:v>-3.5154000000000005</c:v>
                </c:pt>
                <c:pt idx="88">
                  <c:v>31.995299999999997</c:v>
                </c:pt>
                <c:pt idx="89">
                  <c:v>1.03E-2</c:v>
                </c:pt>
                <c:pt idx="90">
                  <c:v>8.9794</c:v>
                </c:pt>
                <c:pt idx="91">
                  <c:v>-283.52600000000012</c:v>
                </c:pt>
                <c:pt idx="92">
                  <c:v>0.30810000000000004</c:v>
                </c:pt>
                <c:pt idx="93">
                  <c:v>10.241099999999999</c:v>
                </c:pt>
                <c:pt idx="94">
                  <c:v>-0.2286</c:v>
                </c:pt>
                <c:pt idx="95">
                  <c:v>-2.0231000000000021</c:v>
                </c:pt>
                <c:pt idx="96">
                  <c:v>-0.22009999999999999</c:v>
                </c:pt>
                <c:pt idx="97">
                  <c:v>0</c:v>
                </c:pt>
                <c:pt idx="98">
                  <c:v>-68.265499999999975</c:v>
                </c:pt>
                <c:pt idx="99">
                  <c:v>-0.51859999999999995</c:v>
                </c:pt>
                <c:pt idx="100">
                  <c:v>40.106100000000005</c:v>
                </c:pt>
                <c:pt idx="101">
                  <c:v>1.18</c:v>
                </c:pt>
                <c:pt idx="102">
                  <c:v>-0.52689999999999948</c:v>
                </c:pt>
                <c:pt idx="103">
                  <c:v>0.36180000000000001</c:v>
                </c:pt>
                <c:pt idx="104">
                  <c:v>9.1873000000000005</c:v>
                </c:pt>
                <c:pt idx="105">
                  <c:v>-5.9899999999999995E-2</c:v>
                </c:pt>
                <c:pt idx="106">
                  <c:v>2.6486999999999998</c:v>
                </c:pt>
                <c:pt idx="107">
                  <c:v>-1.9802000000000002</c:v>
                </c:pt>
                <c:pt idx="108">
                  <c:v>-5.2800000000000402E-2</c:v>
                </c:pt>
                <c:pt idx="109">
                  <c:v>20.6035</c:v>
                </c:pt>
                <c:pt idx="110">
                  <c:v>142.5198</c:v>
                </c:pt>
                <c:pt idx="111">
                  <c:v>17.602199999999996</c:v>
                </c:pt>
                <c:pt idx="112">
                  <c:v>-0.39329999999999998</c:v>
                </c:pt>
                <c:pt idx="113">
                  <c:v>-0.88320000000000021</c:v>
                </c:pt>
                <c:pt idx="114">
                  <c:v>0.13550000000000001</c:v>
                </c:pt>
                <c:pt idx="115">
                  <c:v>-4.7899999999998499E-2</c:v>
                </c:pt>
                <c:pt idx="116">
                  <c:v>0.24010000000000001</c:v>
                </c:pt>
                <c:pt idx="117">
                  <c:v>-161.38569999999999</c:v>
                </c:pt>
                <c:pt idx="118">
                  <c:v>0</c:v>
                </c:pt>
                <c:pt idx="119">
                  <c:v>-1.0868</c:v>
                </c:pt>
                <c:pt idx="120">
                  <c:v>-3.1101999999999999</c:v>
                </c:pt>
                <c:pt idx="121">
                  <c:v>0.15609999999999999</c:v>
                </c:pt>
                <c:pt idx="122">
                  <c:v>8.9182999999999986</c:v>
                </c:pt>
                <c:pt idx="123">
                  <c:v>-3.1300000000000001E-2</c:v>
                </c:pt>
                <c:pt idx="124">
                  <c:v>-3.9999000000000002</c:v>
                </c:pt>
                <c:pt idx="125">
                  <c:v>-0.79</c:v>
                </c:pt>
                <c:pt idx="126">
                  <c:v>-57.402999999999999</c:v>
                </c:pt>
                <c:pt idx="127">
                  <c:v>-0.36070000000000002</c:v>
                </c:pt>
                <c:pt idx="128">
                  <c:v>0</c:v>
                </c:pt>
                <c:pt idx="129">
                  <c:v>-1.7500000000000002E-2</c:v>
                </c:pt>
                <c:pt idx="130">
                  <c:v>-4.3158999999999992</c:v>
                </c:pt>
                <c:pt idx="131">
                  <c:v>16.826999999999998</c:v>
                </c:pt>
                <c:pt idx="132">
                  <c:v>0</c:v>
                </c:pt>
                <c:pt idx="133">
                  <c:v>-0.24339999999999984</c:v>
                </c:pt>
                <c:pt idx="134">
                  <c:v>-17.804399999999994</c:v>
                </c:pt>
                <c:pt idx="135">
                  <c:v>5.2523</c:v>
                </c:pt>
                <c:pt idx="136">
                  <c:v>-51.720600000000005</c:v>
                </c:pt>
                <c:pt idx="137">
                  <c:v>13.098700000000001</c:v>
                </c:pt>
                <c:pt idx="138">
                  <c:v>-70.075199999999995</c:v>
                </c:pt>
                <c:pt idx="139">
                  <c:v>-52.698100000000004</c:v>
                </c:pt>
              </c:numCache>
            </c:numRef>
          </c:val>
          <c:smooth val="0"/>
          <c:extLst>
            <c:ext xmlns:c16="http://schemas.microsoft.com/office/drawing/2014/chart" uri="{C3380CC4-5D6E-409C-BE32-E72D297353CC}">
              <c16:uniqueId val="{00000005-F11E-4953-9705-DE561588DF3E}"/>
            </c:ext>
          </c:extLst>
        </c:ser>
        <c:dLbls>
          <c:showLegendKey val="0"/>
          <c:showVal val="0"/>
          <c:showCatName val="0"/>
          <c:showSerName val="0"/>
          <c:showPercent val="0"/>
          <c:showBubbleSize val="0"/>
        </c:dLbls>
        <c:marker val="1"/>
        <c:smooth val="0"/>
        <c:axId val="2068056639"/>
        <c:axId val="2068050879"/>
      </c:lineChart>
      <c:catAx>
        <c:axId val="206805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8050879"/>
        <c:crosses val="autoZero"/>
        <c:auto val="1"/>
        <c:lblAlgn val="ctr"/>
        <c:lblOffset val="100"/>
        <c:noMultiLvlLbl val="0"/>
      </c:catAx>
      <c:valAx>
        <c:axId val="2068050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8056639"/>
        <c:crosses val="autoZero"/>
        <c:crossBetween val="between"/>
      </c:valAx>
    </c:plotArea>
    <c:plotVisOnly val="1"/>
    <c:dispBlanksAs val="gap"/>
    <c:showDLblsOverMax val="0"/>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[BabyCareAnalysis.xlsx]Top manufacturer 2023 &amp; 2022!PivotTable1</c:name>
    <c:fmtId val="2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Top manufacturer 2023 &amp; 2022</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A5002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5002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5002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5002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manufacturer 2023 &amp; 2022'!$B$3</c:f>
              <c:strCache>
                <c:ptCount val="1"/>
                <c:pt idx="0">
                  <c:v>Sum of 2023 Value</c:v>
                </c:pt>
              </c:strCache>
            </c:strRef>
          </c:tx>
          <c:spPr>
            <a:solidFill>
              <a:srgbClr val="A5002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manufacturer 2023 &amp; 2022'!$A$4:$A$9</c:f>
              <c:strCache>
                <c:ptCount val="5"/>
                <c:pt idx="0">
                  <c:v> VigaLife</c:v>
                </c:pt>
                <c:pt idx="1">
                  <c:v> Proctor &amp; Wager</c:v>
                </c:pt>
                <c:pt idx="2">
                  <c:v> Fulya Beauty</c:v>
                </c:pt>
                <c:pt idx="3">
                  <c:v> SepaTextiles</c:v>
                </c:pt>
                <c:pt idx="4">
                  <c:v> Intelligent Initiative</c:v>
                </c:pt>
              </c:strCache>
            </c:strRef>
          </c:cat>
          <c:val>
            <c:numRef>
              <c:f>'Top manufacturer 2023 &amp; 2022'!$B$4:$B$9</c:f>
              <c:numCache>
                <c:formatCode>#,##0.00_);\(#,##0.00\)</c:formatCode>
                <c:ptCount val="5"/>
                <c:pt idx="0">
                  <c:v>3428.0433000000003</c:v>
                </c:pt>
                <c:pt idx="1">
                  <c:v>2101.7048</c:v>
                </c:pt>
                <c:pt idx="2">
                  <c:v>822.98120000000029</c:v>
                </c:pt>
                <c:pt idx="3">
                  <c:v>529.41079999999999</c:v>
                </c:pt>
                <c:pt idx="4">
                  <c:v>507.30459999999999</c:v>
                </c:pt>
              </c:numCache>
            </c:numRef>
          </c:val>
          <c:extLst>
            <c:ext xmlns:c16="http://schemas.microsoft.com/office/drawing/2014/chart" uri="{C3380CC4-5D6E-409C-BE32-E72D297353CC}">
              <c16:uniqueId val="{00000001-CDA8-4432-BCF9-8BCB96449A6B}"/>
            </c:ext>
          </c:extLst>
        </c:ser>
        <c:ser>
          <c:idx val="1"/>
          <c:order val="1"/>
          <c:tx>
            <c:strRef>
              <c:f>'Top manufacturer 2023 &amp; 2022'!$C$3</c:f>
              <c:strCache>
                <c:ptCount val="1"/>
                <c:pt idx="0">
                  <c:v>Sum of 2022 Value</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manufacturer 2023 &amp; 2022'!$A$4:$A$9</c:f>
              <c:strCache>
                <c:ptCount val="5"/>
                <c:pt idx="0">
                  <c:v> VigaLife</c:v>
                </c:pt>
                <c:pt idx="1">
                  <c:v> Proctor &amp; Wager</c:v>
                </c:pt>
                <c:pt idx="2">
                  <c:v> Fulya Beauty</c:v>
                </c:pt>
                <c:pt idx="3">
                  <c:v> SepaTextiles</c:v>
                </c:pt>
                <c:pt idx="4">
                  <c:v> Intelligent Initiative</c:v>
                </c:pt>
              </c:strCache>
            </c:strRef>
          </c:cat>
          <c:val>
            <c:numRef>
              <c:f>'Top manufacturer 2023 &amp; 2022'!$C$4:$C$9</c:f>
              <c:numCache>
                <c:formatCode>#,##0.00_);\(#,##0.00\)</c:formatCode>
                <c:ptCount val="5"/>
                <c:pt idx="0">
                  <c:v>3341.5013000000004</c:v>
                </c:pt>
                <c:pt idx="1">
                  <c:v>1818.5406000000007</c:v>
                </c:pt>
                <c:pt idx="2">
                  <c:v>1012.9229999999999</c:v>
                </c:pt>
                <c:pt idx="3">
                  <c:v>632.96199999999999</c:v>
                </c:pt>
                <c:pt idx="4">
                  <c:v>511.78090000000003</c:v>
                </c:pt>
              </c:numCache>
            </c:numRef>
          </c:val>
          <c:extLst>
            <c:ext xmlns:c16="http://schemas.microsoft.com/office/drawing/2014/chart" uri="{C3380CC4-5D6E-409C-BE32-E72D297353CC}">
              <c16:uniqueId val="{00000003-CDA8-4432-BCF9-8BCB96449A6B}"/>
            </c:ext>
          </c:extLst>
        </c:ser>
        <c:dLbls>
          <c:dLblPos val="outEnd"/>
          <c:showLegendKey val="0"/>
          <c:showVal val="1"/>
          <c:showCatName val="0"/>
          <c:showSerName val="0"/>
          <c:showPercent val="0"/>
          <c:showBubbleSize val="0"/>
        </c:dLbls>
        <c:gapWidth val="100"/>
        <c:overlap val="-24"/>
        <c:axId val="299495727"/>
        <c:axId val="299512527"/>
      </c:barChart>
      <c:catAx>
        <c:axId val="29949572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9512527"/>
        <c:crosses val="autoZero"/>
        <c:auto val="1"/>
        <c:lblAlgn val="ctr"/>
        <c:lblOffset val="100"/>
        <c:noMultiLvlLbl val="0"/>
      </c:catAx>
      <c:valAx>
        <c:axId val="299512527"/>
        <c:scaling>
          <c:orientation val="minMax"/>
        </c:scaling>
        <c:delete val="0"/>
        <c:axPos val="l"/>
        <c:numFmt formatCode="#,##0.00_);\(#,##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9495727"/>
        <c:crosses val="autoZero"/>
        <c:crossBetween val="between"/>
      </c:valAx>
      <c:spPr>
        <a:noFill/>
        <a:ln>
          <a:noFill/>
        </a:ln>
        <a:effectLst/>
      </c:spPr>
    </c:plotArea>
    <c:plotVisOnly val="1"/>
    <c:dispBlanksAs val="gap"/>
    <c:showDLblsOverMax val="0"/>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[BabyCareAnalysis.xlsx]Best-performing size!PivotTable2</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Best-performing size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95000"/>
              <a:lumOff val="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1">
              <a:lumMod val="95000"/>
              <a:lumOff val="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lumMod val="95000"/>
              <a:lumOff val="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'Best-performing size'!$B$3</c:f>
              <c:strCache>
                <c:ptCount val="1"/>
                <c:pt idx="0">
                  <c:v>Sum of 2022 Volume</c:v>
                </c:pt>
              </c:strCache>
            </c:strRef>
          </c:tx>
          <c:spPr>
            <a:solidFill>
              <a:schemeClr val="tx1">
                <a:lumMod val="95000"/>
                <a:lumOff val="5000"/>
              </a:schemeClr>
            </a:solidFill>
            <a:ln>
              <a:noFill/>
            </a:ln>
            <a:effectLst>
              <a:outerShdw blurRad="57150" dist="19050" dir="5400000" algn="ctr" rotWithShape="0">
                <a:srgbClr val="000000">
                  <a:alpha val="63000"/>
                </a:srgbClr>
              </a:outerShdw>
            </a:effectLst>
          </c:spPr>
          <c:invertIfNegative val="0"/>
          <c:cat>
            <c:strRef>
              <c:f>'Best-performing size'!$A$4:$A$14</c:f>
              <c:strCache>
                <c:ptCount val="10"/>
                <c:pt idx="0">
                  <c:v>72</c:v>
                </c:pt>
                <c:pt idx="1">
                  <c:v>120</c:v>
                </c:pt>
                <c:pt idx="2">
                  <c:v>80</c:v>
                </c:pt>
                <c:pt idx="3">
                  <c:v>64</c:v>
                </c:pt>
                <c:pt idx="4">
                  <c:v>100</c:v>
                </c:pt>
                <c:pt idx="5">
                  <c:v>52</c:v>
                </c:pt>
                <c:pt idx="6">
                  <c:v>60</c:v>
                </c:pt>
                <c:pt idx="7">
                  <c:v>140</c:v>
                </c:pt>
                <c:pt idx="8">
                  <c:v>63</c:v>
                </c:pt>
                <c:pt idx="9">
                  <c:v>144</c:v>
                </c:pt>
              </c:strCache>
            </c:strRef>
          </c:cat>
          <c:val>
            <c:numRef>
              <c:f>'Best-performing size'!$B$4:$B$14</c:f>
              <c:numCache>
                <c:formatCode>0.00</c:formatCode>
                <c:ptCount val="10"/>
                <c:pt idx="0">
                  <c:v>153775.27919999999</c:v>
                </c:pt>
                <c:pt idx="1">
                  <c:v>140218.00759999998</c:v>
                </c:pt>
                <c:pt idx="2">
                  <c:v>31573.781599999995</c:v>
                </c:pt>
                <c:pt idx="3">
                  <c:v>30188.789799999999</c:v>
                </c:pt>
                <c:pt idx="4">
                  <c:v>28390.618899999998</c:v>
                </c:pt>
                <c:pt idx="5">
                  <c:v>26840.936600000001</c:v>
                </c:pt>
                <c:pt idx="6">
                  <c:v>14180.574499999999</c:v>
                </c:pt>
                <c:pt idx="7">
                  <c:v>7337.7478999999994</c:v>
                </c:pt>
                <c:pt idx="8">
                  <c:v>6841.3387000000002</c:v>
                </c:pt>
                <c:pt idx="9">
                  <c:v>5660.9096</c:v>
                </c:pt>
              </c:numCache>
            </c:numRef>
          </c:val>
          <c:extLst>
            <c:ext xmlns:c16="http://schemas.microsoft.com/office/drawing/2014/chart" uri="{C3380CC4-5D6E-409C-BE32-E72D297353CC}">
              <c16:uniqueId val="{00000001-5FF8-4BD4-BA1D-519A993992C9}"/>
            </c:ext>
          </c:extLst>
        </c:ser>
        <c:ser>
          <c:idx val="1"/>
          <c:order val="1"/>
          <c:tx>
            <c:strRef>
              <c:f>'Best-performing size'!$C$3</c:f>
              <c:strCache>
                <c:ptCount val="1"/>
                <c:pt idx="0">
                  <c:v>Sum of 2023 Volume</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'Best-performing size'!$A$4:$A$14</c:f>
              <c:strCache>
                <c:ptCount val="10"/>
                <c:pt idx="0">
                  <c:v>72</c:v>
                </c:pt>
                <c:pt idx="1">
                  <c:v>120</c:v>
                </c:pt>
                <c:pt idx="2">
                  <c:v>80</c:v>
                </c:pt>
                <c:pt idx="3">
                  <c:v>64</c:v>
                </c:pt>
                <c:pt idx="4">
                  <c:v>100</c:v>
                </c:pt>
                <c:pt idx="5">
                  <c:v>52</c:v>
                </c:pt>
                <c:pt idx="6">
                  <c:v>60</c:v>
                </c:pt>
                <c:pt idx="7">
                  <c:v>140</c:v>
                </c:pt>
                <c:pt idx="8">
                  <c:v>63</c:v>
                </c:pt>
                <c:pt idx="9">
                  <c:v>144</c:v>
                </c:pt>
              </c:strCache>
            </c:strRef>
          </c:cat>
          <c:val>
            <c:numRef>
              <c:f>'Best-performing size'!$C$4:$C$14</c:f>
              <c:numCache>
                <c:formatCode>0.00</c:formatCode>
                <c:ptCount val="10"/>
                <c:pt idx="0">
                  <c:v>144373.22090000004</c:v>
                </c:pt>
                <c:pt idx="1">
                  <c:v>152424.14560000005</c:v>
                </c:pt>
                <c:pt idx="2">
                  <c:v>25763.2327</c:v>
                </c:pt>
                <c:pt idx="3">
                  <c:v>24709.567799999997</c:v>
                </c:pt>
                <c:pt idx="4">
                  <c:v>28845.303199999995</c:v>
                </c:pt>
                <c:pt idx="5">
                  <c:v>34758.950799999999</c:v>
                </c:pt>
                <c:pt idx="6">
                  <c:v>16485.746600000002</c:v>
                </c:pt>
                <c:pt idx="7">
                  <c:v>8103.3085000000001</c:v>
                </c:pt>
                <c:pt idx="8">
                  <c:v>6908.5156999999999</c:v>
                </c:pt>
                <c:pt idx="9">
                  <c:v>6676.0725000000002</c:v>
                </c:pt>
              </c:numCache>
            </c:numRef>
          </c:val>
          <c:extLst>
            <c:ext xmlns:c16="http://schemas.microsoft.com/office/drawing/2014/chart" uri="{C3380CC4-5D6E-409C-BE32-E72D297353CC}">
              <c16:uniqueId val="{00000003-5FF8-4BD4-BA1D-519A993992C9}"/>
            </c:ext>
          </c:extLst>
        </c:ser>
        <c:ser>
          <c:idx val="2"/>
          <c:order val="2"/>
          <c:tx>
            <c:strRef>
              <c:f>'Best-performing size'!$D$3</c:f>
              <c:strCache>
                <c:ptCount val="1"/>
                <c:pt idx="0">
                  <c:v>Sum of YTD 24 Volume</c:v>
                </c:pt>
              </c:strCache>
            </c:strRef>
          </c:tx>
          <c:spPr>
            <a:solidFill>
              <a:schemeClr val="bg1"/>
            </a:solidFill>
            <a:ln>
              <a:noFill/>
            </a:ln>
            <a:effectLst>
              <a:outerShdw blurRad="57150" dist="19050" dir="5400000" algn="ctr" rotWithShape="0">
                <a:srgbClr val="000000">
                  <a:alpha val="63000"/>
                </a:srgbClr>
              </a:outerShdw>
            </a:effectLst>
          </c:spPr>
          <c:invertIfNegative val="0"/>
          <c:cat>
            <c:strRef>
              <c:f>'Best-performing size'!$A$4:$A$14</c:f>
              <c:strCache>
                <c:ptCount val="10"/>
                <c:pt idx="0">
                  <c:v>72</c:v>
                </c:pt>
                <c:pt idx="1">
                  <c:v>120</c:v>
                </c:pt>
                <c:pt idx="2">
                  <c:v>80</c:v>
                </c:pt>
                <c:pt idx="3">
                  <c:v>64</c:v>
                </c:pt>
                <c:pt idx="4">
                  <c:v>100</c:v>
                </c:pt>
                <c:pt idx="5">
                  <c:v>52</c:v>
                </c:pt>
                <c:pt idx="6">
                  <c:v>60</c:v>
                </c:pt>
                <c:pt idx="7">
                  <c:v>140</c:v>
                </c:pt>
                <c:pt idx="8">
                  <c:v>63</c:v>
                </c:pt>
                <c:pt idx="9">
                  <c:v>144</c:v>
                </c:pt>
              </c:strCache>
            </c:strRef>
          </c:cat>
          <c:val>
            <c:numRef>
              <c:f>'Best-performing size'!$D$4:$D$14</c:f>
              <c:numCache>
                <c:formatCode>0.00</c:formatCode>
                <c:ptCount val="10"/>
                <c:pt idx="0">
                  <c:v>73445.01880000002</c:v>
                </c:pt>
                <c:pt idx="1">
                  <c:v>75389.420499999993</c:v>
                </c:pt>
                <c:pt idx="2">
                  <c:v>10561.467099999998</c:v>
                </c:pt>
                <c:pt idx="3">
                  <c:v>11128.7448</c:v>
                </c:pt>
                <c:pt idx="4">
                  <c:v>13184.917699999998</c:v>
                </c:pt>
                <c:pt idx="5">
                  <c:v>21933.4833</c:v>
                </c:pt>
                <c:pt idx="6">
                  <c:v>7455.6704</c:v>
                </c:pt>
                <c:pt idx="7">
                  <c:v>7048.5825999999997</c:v>
                </c:pt>
                <c:pt idx="8">
                  <c:v>2268.0683000000004</c:v>
                </c:pt>
                <c:pt idx="9">
                  <c:v>2270.1652000000004</c:v>
                </c:pt>
              </c:numCache>
            </c:numRef>
          </c:val>
          <c:extLst>
            <c:ext xmlns:c16="http://schemas.microsoft.com/office/drawing/2014/chart" uri="{C3380CC4-5D6E-409C-BE32-E72D297353CC}">
              <c16:uniqueId val="{00000005-5FF8-4BD4-BA1D-519A993992C9}"/>
            </c:ext>
          </c:extLst>
        </c:ser>
        <c:dLbls>
          <c:showLegendKey val="0"/>
          <c:showVal val="0"/>
          <c:showCatName val="0"/>
          <c:showSerName val="0"/>
          <c:showPercent val="0"/>
          <c:showBubbleSize val="0"/>
        </c:dLbls>
        <c:gapWidth val="150"/>
        <c:overlap val="100"/>
        <c:axId val="299522127"/>
        <c:axId val="299519727"/>
      </c:barChart>
      <c:catAx>
        <c:axId val="29952212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99519727"/>
        <c:crosses val="autoZero"/>
        <c:auto val="1"/>
        <c:lblAlgn val="ctr"/>
        <c:lblOffset val="100"/>
        <c:noMultiLvlLbl val="0"/>
      </c:catAx>
      <c:valAx>
        <c:axId val="299519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9952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w="1270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[BabyCareAnalysis.xlsx]Top 10-2022 to 2023 volume drop!PivotTable1</c:name>
    <c:fmtId val="2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10-2022 to 2023 volume drop</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5002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A5002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A5002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A5002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'Top 10-2022 to 2023 volume drop'!$E$6</c:f>
              <c:strCache>
                <c:ptCount val="1"/>
                <c:pt idx="0">
                  <c:v>Total</c:v>
                </c:pt>
              </c:strCache>
            </c:strRef>
          </c:tx>
          <c:spPr>
            <a:solidFill>
              <a:srgbClr val="A50021"/>
            </a:solidFill>
            <a:ln>
              <a:noFill/>
            </a:ln>
            <a:effectLst/>
          </c:spPr>
          <c:invertIfNegative val="0"/>
          <c:cat>
            <c:strRef>
              <c:f>'Top 10-2022 to 2023 volume drop'!$D$7:$D$17</c:f>
              <c:strCache>
                <c:ptCount val="10"/>
                <c:pt idx="0">
                  <c:v>HAPPY FAMILY BABY PH5.5 W 70 BAG</c:v>
                </c:pt>
                <c:pt idx="1">
                  <c:v>PAMPERS BABY FRESH CLEAN XXL W 80 BAG</c:v>
                </c:pt>
                <c:pt idx="2">
                  <c:v>ELVIM BABY ULTRASENSITIVE LOTION&amp;VITE 72</c:v>
                </c:pt>
                <c:pt idx="3">
                  <c:v>BABY CREMA WATER 99% W 72 BAG</c:v>
                </c:pt>
                <c:pt idx="4">
                  <c:v>MY COMFORT BABY ARGAN ALK.FREE W 120 BAG</c:v>
                </c:pt>
                <c:pt idx="5">
                  <c:v>KIDS BABY WET WIPES W 72 BAG KAPACHE</c:v>
                </c:pt>
                <c:pt idx="6">
                  <c:v>RENKLI BABY LUX PH5.5 W 2X80 BAG</c:v>
                </c:pt>
                <c:pt idx="7">
                  <c:v>FRESH MAKER BABY PH5.5 W 120 BAG JUMBO</c:v>
                </c:pt>
                <c:pt idx="8">
                  <c:v>INCI FRESH VITE&amp;PROVITB5 PH5.5 W 120 BAG</c:v>
                </c:pt>
                <c:pt idx="9">
                  <c:v>BABY CREMA CAMOMIL W 120 BAG KAPAK</c:v>
                </c:pt>
              </c:strCache>
            </c:strRef>
          </c:cat>
          <c:val>
            <c:numRef>
              <c:f>'Top 10-2022 to 2023 volume drop'!$E$7:$E$17</c:f>
              <c:numCache>
                <c:formatCode>General</c:formatCode>
                <c:ptCount val="10"/>
                <c:pt idx="0">
                  <c:v>1769.2567999999999</c:v>
                </c:pt>
                <c:pt idx="1">
                  <c:v>1962.3911000000007</c:v>
                </c:pt>
                <c:pt idx="2">
                  <c:v>2049.6656000000003</c:v>
                </c:pt>
                <c:pt idx="3">
                  <c:v>2382.5905000000002</c:v>
                </c:pt>
                <c:pt idx="4">
                  <c:v>2534.2295999999997</c:v>
                </c:pt>
                <c:pt idx="5">
                  <c:v>4253.6499000000003</c:v>
                </c:pt>
                <c:pt idx="6">
                  <c:v>4878.2541999999994</c:v>
                </c:pt>
                <c:pt idx="7">
                  <c:v>4878.5128000000022</c:v>
                </c:pt>
                <c:pt idx="8">
                  <c:v>6404.9830000000002</c:v>
                </c:pt>
                <c:pt idx="9">
                  <c:v>6903.5393000000004</c:v>
                </c:pt>
              </c:numCache>
            </c:numRef>
          </c:val>
          <c:extLst>
            <c:ext xmlns:c16="http://schemas.microsoft.com/office/drawing/2014/chart" uri="{C3380CC4-5D6E-409C-BE32-E72D297353CC}">
              <c16:uniqueId val="{00000003-3286-4641-ACE2-E5CAE5F56937}"/>
            </c:ext>
          </c:extLst>
        </c:ser>
        <c:dLbls>
          <c:showLegendKey val="0"/>
          <c:showVal val="0"/>
          <c:showCatName val="0"/>
          <c:showSerName val="0"/>
          <c:showPercent val="0"/>
          <c:showBubbleSize val="0"/>
        </c:dLbls>
        <c:gapWidth val="150"/>
        <c:overlap val="100"/>
        <c:axId val="131175600"/>
        <c:axId val="131176560"/>
      </c:barChart>
      <c:catAx>
        <c:axId val="13117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31176560"/>
        <c:crosses val="autoZero"/>
        <c:auto val="1"/>
        <c:lblAlgn val="ctr"/>
        <c:lblOffset val="100"/>
        <c:noMultiLvlLbl val="0"/>
      </c:catAx>
      <c:valAx>
        <c:axId val="131176560"/>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31175600"/>
        <c:crosses val="autoZero"/>
        <c:crossBetween val="between"/>
      </c:valAx>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solidFill>
        <a:schemeClr val="tx1"/>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[BabyCareAnalysis.xlsx]Sales by package type &amp; product!PivotTable2</c:name>
    <c:fmtId val="13"/>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i="0" u="none" strike="noStrike" baseline="0">
                <a:solidFill>
                  <a:schemeClr val="tx1"/>
                </a:solidFill>
              </a:rPr>
              <a:t>Sales by package type &amp; product attribute</a:t>
            </a:r>
            <a:endParaRPr lang="en-US" sz="1600" b="1">
              <a:solidFill>
                <a:schemeClr val="tx1"/>
              </a:solidFill>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1"/>
        <c:spPr>
          <a:solidFill>
            <a:schemeClr val="tx1">
              <a:lumMod val="95000"/>
              <a:lumOff val="5000"/>
            </a:schemeClr>
          </a:solidFill>
          <a:ln w="19050">
            <a:solidFill>
              <a:schemeClr val="lt1"/>
            </a:solidFill>
          </a:ln>
          <a:effectLst/>
        </c:spPr>
      </c:pivotFmt>
      <c:pivotFmt>
        <c:idx val="32"/>
        <c:spPr>
          <a:solidFill>
            <a:srgbClr val="FFC000"/>
          </a:solidFill>
          <a:ln w="19050">
            <a:solidFill>
              <a:schemeClr val="lt1"/>
            </a:solidFill>
          </a:ln>
          <a:effectLst/>
        </c:spPr>
      </c:pivotFmt>
      <c:pivotFmt>
        <c:idx val="33"/>
        <c:spPr>
          <a:solidFill>
            <a:srgbClr val="FF5050"/>
          </a:solidFill>
          <a:ln w="19050">
            <a:solidFill>
              <a:schemeClr val="lt1"/>
            </a:solidFill>
          </a:ln>
          <a:effectLst/>
        </c:spPr>
      </c:pivotFmt>
      <c:pivotFmt>
        <c:idx val="34"/>
        <c:spPr>
          <a:solidFill>
            <a:schemeClr val="accent2">
              <a:lumMod val="50000"/>
            </a:schemeClr>
          </a:solidFill>
          <a:ln w="19050">
            <a:solidFill>
              <a:schemeClr val="lt1"/>
            </a:solidFill>
          </a:ln>
          <a:effectLst/>
        </c:spPr>
      </c:pivotFmt>
      <c:pivotFmt>
        <c:idx val="35"/>
        <c:spPr>
          <a:solidFill>
            <a:srgbClr val="FF9966"/>
          </a:solidFill>
          <a:ln w="19050">
            <a:solidFill>
              <a:schemeClr val="lt1"/>
            </a:solidFill>
          </a:ln>
          <a:effectLst/>
        </c:spPr>
      </c:pivotFmt>
      <c:pivotFmt>
        <c:idx val="36"/>
        <c:spPr>
          <a:solidFill>
            <a:srgbClr val="CC0000"/>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0"/>
        <c:spPr>
          <a:solidFill>
            <a:schemeClr val="tx1">
              <a:lumMod val="95000"/>
              <a:lumOff val="5000"/>
            </a:schemeClr>
          </a:solidFill>
          <a:ln w="19050">
            <a:solidFill>
              <a:schemeClr val="lt1"/>
            </a:solidFill>
          </a:ln>
          <a:effectLst/>
        </c:spPr>
      </c:pivotFmt>
      <c:pivotFmt>
        <c:idx val="41"/>
        <c:spPr>
          <a:solidFill>
            <a:srgbClr val="FFC000"/>
          </a:solidFill>
          <a:ln w="19050">
            <a:solidFill>
              <a:schemeClr val="lt1"/>
            </a:solidFill>
          </a:ln>
          <a:effectLst/>
        </c:spPr>
      </c:pivotFmt>
      <c:pivotFmt>
        <c:idx val="42"/>
        <c:spPr>
          <a:solidFill>
            <a:srgbClr val="FF5050"/>
          </a:solidFill>
          <a:ln w="19050">
            <a:solidFill>
              <a:schemeClr val="lt1"/>
            </a:solidFill>
          </a:ln>
          <a:effectLst/>
        </c:spPr>
      </c:pivotFmt>
      <c:pivotFmt>
        <c:idx val="43"/>
        <c:spPr>
          <a:solidFill>
            <a:schemeClr val="accent2">
              <a:lumMod val="50000"/>
            </a:schemeClr>
          </a:solidFill>
          <a:ln w="19050">
            <a:solidFill>
              <a:schemeClr val="lt1"/>
            </a:solidFill>
          </a:ln>
          <a:effectLst/>
        </c:spPr>
      </c:pivotFmt>
      <c:pivotFmt>
        <c:idx val="44"/>
        <c:spPr>
          <a:solidFill>
            <a:srgbClr val="FF9966"/>
          </a:solidFill>
          <a:ln w="19050">
            <a:solidFill>
              <a:schemeClr val="lt1"/>
            </a:solidFill>
          </a:ln>
          <a:effectLst/>
        </c:spPr>
      </c:pivotFmt>
      <c:pivotFmt>
        <c:idx val="45"/>
        <c:spPr>
          <a:solidFill>
            <a:srgbClr val="CC0000"/>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9"/>
        <c:spPr>
          <a:solidFill>
            <a:schemeClr val="tx1">
              <a:lumMod val="95000"/>
              <a:lumOff val="5000"/>
            </a:schemeClr>
          </a:solidFill>
          <a:ln w="19050">
            <a:solidFill>
              <a:schemeClr val="lt1"/>
            </a:solidFill>
          </a:ln>
          <a:effectLst/>
        </c:spPr>
      </c:pivotFmt>
      <c:pivotFmt>
        <c:idx val="50"/>
        <c:spPr>
          <a:solidFill>
            <a:srgbClr val="FFC000"/>
          </a:solidFill>
          <a:ln w="19050">
            <a:solidFill>
              <a:schemeClr val="lt1"/>
            </a:solidFill>
          </a:ln>
          <a:effectLst/>
        </c:spPr>
      </c:pivotFmt>
      <c:pivotFmt>
        <c:idx val="51"/>
        <c:spPr>
          <a:solidFill>
            <a:srgbClr val="FF5050"/>
          </a:solidFill>
          <a:ln w="19050">
            <a:solidFill>
              <a:schemeClr val="lt1"/>
            </a:solidFill>
          </a:ln>
          <a:effectLst/>
        </c:spPr>
      </c:pivotFmt>
      <c:pivotFmt>
        <c:idx val="52"/>
        <c:spPr>
          <a:solidFill>
            <a:schemeClr val="accent2">
              <a:lumMod val="50000"/>
            </a:schemeClr>
          </a:solidFill>
          <a:ln w="19050">
            <a:solidFill>
              <a:schemeClr val="lt1"/>
            </a:solidFill>
          </a:ln>
          <a:effectLst/>
        </c:spPr>
      </c:pivotFmt>
      <c:pivotFmt>
        <c:idx val="53"/>
        <c:spPr>
          <a:solidFill>
            <a:srgbClr val="FF9966"/>
          </a:solidFill>
          <a:ln w="19050">
            <a:solidFill>
              <a:schemeClr val="lt1"/>
            </a:solidFill>
          </a:ln>
          <a:effectLst/>
        </c:spPr>
      </c:pivotFmt>
      <c:pivotFmt>
        <c:idx val="54"/>
        <c:spPr>
          <a:solidFill>
            <a:srgbClr val="CC0000"/>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marker>
          <c:symbol val="none"/>
        </c:marker>
        <c:dLbl>
          <c:idx val="0"/>
          <c:delete val="1"/>
          <c:extLst>
            <c:ext xmlns:c15="http://schemas.microsoft.com/office/drawing/2012/chart" uri="{CE6537A1-D6FC-4f65-9D91-7224C49458BB}"/>
          </c:extLst>
        </c:dLbl>
      </c:pivotFmt>
      <c:pivotFmt>
        <c:idx val="58"/>
        <c:spPr>
          <a:solidFill>
            <a:schemeClr val="tx1">
              <a:lumMod val="95000"/>
              <a:lumOff val="5000"/>
            </a:schemeClr>
          </a:solidFill>
          <a:ln w="19050">
            <a:solidFill>
              <a:schemeClr val="lt1"/>
            </a:solidFill>
          </a:ln>
          <a:effectLst/>
        </c:spPr>
      </c:pivotFmt>
      <c:pivotFmt>
        <c:idx val="59"/>
        <c:spPr>
          <a:solidFill>
            <a:srgbClr val="FFC000"/>
          </a:solidFill>
          <a:ln w="19050">
            <a:solidFill>
              <a:schemeClr val="lt1"/>
            </a:solidFill>
          </a:ln>
          <a:effectLst/>
        </c:spPr>
      </c:pivotFmt>
      <c:pivotFmt>
        <c:idx val="60"/>
        <c:spPr>
          <a:solidFill>
            <a:srgbClr val="FF5050"/>
          </a:solidFill>
          <a:ln w="19050">
            <a:solidFill>
              <a:schemeClr val="lt1"/>
            </a:solidFill>
          </a:ln>
          <a:effectLst/>
        </c:spPr>
      </c:pivotFmt>
      <c:pivotFmt>
        <c:idx val="61"/>
        <c:spPr>
          <a:solidFill>
            <a:schemeClr val="accent2">
              <a:lumMod val="50000"/>
            </a:schemeClr>
          </a:solidFill>
          <a:ln w="19050">
            <a:solidFill>
              <a:schemeClr val="lt1"/>
            </a:solidFill>
          </a:ln>
          <a:effectLst/>
        </c:spPr>
      </c:pivotFmt>
      <c:pivotFmt>
        <c:idx val="62"/>
        <c:spPr>
          <a:solidFill>
            <a:srgbClr val="FF9966"/>
          </a:solidFill>
          <a:ln w="19050">
            <a:solidFill>
              <a:schemeClr val="lt1"/>
            </a:solidFill>
          </a:ln>
          <a:effectLst/>
        </c:spPr>
      </c:pivotFmt>
      <c:pivotFmt>
        <c:idx val="63"/>
        <c:spPr>
          <a:solidFill>
            <a:srgbClr val="CC0000"/>
          </a:solidFill>
          <a:ln w="19050">
            <a:solidFill>
              <a:schemeClr val="lt1"/>
            </a:solidFill>
          </a:ln>
          <a:effectLst/>
        </c:spPr>
      </c:pivotFmt>
      <c:pivotFmt>
        <c:idx val="64"/>
        <c:spPr>
          <a:solidFill>
            <a:schemeClr val="accent1">
              <a:lumMod val="60000"/>
            </a:schemeClr>
          </a:solidFill>
          <a:ln w="19050">
            <a:solidFill>
              <a:schemeClr val="lt1"/>
            </a:solidFill>
          </a:ln>
          <a:effectLst/>
        </c:spPr>
      </c:pivotFmt>
      <c:pivotFmt>
        <c:idx val="65"/>
        <c:spPr>
          <a:solidFill>
            <a:schemeClr val="accent2">
              <a:lumMod val="60000"/>
            </a:schemeClr>
          </a:solidFill>
          <a:ln w="19050">
            <a:solidFill>
              <a:schemeClr val="lt1"/>
            </a:solidFill>
          </a:ln>
          <a:effectLst/>
        </c:spPr>
      </c:pivotFmt>
    </c:pivotFmts>
    <c:plotArea>
      <c:layout/>
      <c:doughnutChart>
        <c:varyColors val="1"/>
        <c:ser>
          <c:idx val="0"/>
          <c:order val="0"/>
          <c:tx>
            <c:strRef>
              <c:f>'Sales by package type &amp; product'!$C$4</c:f>
              <c:strCache>
                <c:ptCount val="1"/>
                <c:pt idx="0">
                  <c:v>Total</c:v>
                </c:pt>
              </c:strCache>
            </c:strRef>
          </c:tx>
          <c:dPt>
            <c:idx val="0"/>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36-AD0D-4FBA-BECE-6B64A27D312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38-AD0D-4FBA-BECE-6B64A27D312C}"/>
              </c:ext>
            </c:extLst>
          </c:dPt>
          <c:dPt>
            <c:idx val="2"/>
            <c:bubble3D val="0"/>
            <c:spPr>
              <a:solidFill>
                <a:srgbClr val="FF5050"/>
              </a:solidFill>
              <a:ln w="19050">
                <a:solidFill>
                  <a:schemeClr val="lt1"/>
                </a:solidFill>
              </a:ln>
              <a:effectLst/>
            </c:spPr>
            <c:extLst>
              <c:ext xmlns:c16="http://schemas.microsoft.com/office/drawing/2014/chart" uri="{C3380CC4-5D6E-409C-BE32-E72D297353CC}">
                <c16:uniqueId val="{0000003A-AD0D-4FBA-BECE-6B64A27D312C}"/>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C-AD0D-4FBA-BECE-6B64A27D312C}"/>
              </c:ext>
            </c:extLst>
          </c:dPt>
          <c:dPt>
            <c:idx val="4"/>
            <c:bubble3D val="0"/>
            <c:spPr>
              <a:solidFill>
                <a:srgbClr val="FF9966"/>
              </a:solidFill>
              <a:ln w="19050">
                <a:solidFill>
                  <a:schemeClr val="lt1"/>
                </a:solidFill>
              </a:ln>
              <a:effectLst/>
            </c:spPr>
            <c:extLst>
              <c:ext xmlns:c16="http://schemas.microsoft.com/office/drawing/2014/chart" uri="{C3380CC4-5D6E-409C-BE32-E72D297353CC}">
                <c16:uniqueId val="{0000003E-AD0D-4FBA-BECE-6B64A27D312C}"/>
              </c:ext>
            </c:extLst>
          </c:dPt>
          <c:dPt>
            <c:idx val="5"/>
            <c:bubble3D val="0"/>
            <c:spPr>
              <a:solidFill>
                <a:srgbClr val="CC0000"/>
              </a:solidFill>
              <a:ln w="19050">
                <a:solidFill>
                  <a:schemeClr val="lt1"/>
                </a:solidFill>
              </a:ln>
              <a:effectLst/>
            </c:spPr>
            <c:extLst>
              <c:ext xmlns:c16="http://schemas.microsoft.com/office/drawing/2014/chart" uri="{C3380CC4-5D6E-409C-BE32-E72D297353CC}">
                <c16:uniqueId val="{00000040-AD0D-4FBA-BECE-6B64A27D312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2-AD0D-4FBA-BECE-6B64A27D312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4-AD0D-4FBA-BECE-6B64A27D312C}"/>
              </c:ext>
            </c:extLst>
          </c:dPt>
          <c:cat>
            <c:multiLvlStrRef>
              <c:f>'Sales by package type &amp; product'!$B$5:$B$15</c:f>
              <c:multiLvlStrCache>
                <c:ptCount val="8"/>
                <c:lvl>
                  <c:pt idx="0">
                    <c:v>ALCOHOL FREE</c:v>
                  </c:pt>
                  <c:pt idx="1">
                    <c:v>ALCOHOL FREE &amp; HYPOALLERGENIC</c:v>
                  </c:pt>
                  <c:pt idx="2">
                    <c:v>HYPOALLERGENIC</c:v>
                  </c:pt>
                  <c:pt idx="3">
                    <c:v>PH BALANCED</c:v>
                  </c:pt>
                  <c:pt idx="4">
                    <c:v>SENSITIVE</c:v>
                  </c:pt>
                  <c:pt idx="5">
                    <c:v>WITHOUT EXTRA PROTECTCARE INDICATION</c:v>
                  </c:pt>
                  <c:pt idx="6">
                    <c:v>SENSITIVE</c:v>
                  </c:pt>
                  <c:pt idx="7">
                    <c:v>WITHOUT EXTRA PROTECTCARE INDICATION</c:v>
                  </c:pt>
                </c:lvl>
                <c:lvl>
                  <c:pt idx="0">
                    <c:v>BAGS</c:v>
                  </c:pt>
                  <c:pt idx="6">
                    <c:v>BOX</c:v>
                  </c:pt>
                </c:lvl>
              </c:multiLvlStrCache>
            </c:multiLvlStrRef>
          </c:cat>
          <c:val>
            <c:numRef>
              <c:f>'Sales by package type &amp; product'!$C$5:$C$15</c:f>
              <c:numCache>
                <c:formatCode>General</c:formatCode>
                <c:ptCount val="8"/>
                <c:pt idx="0">
                  <c:v>9392</c:v>
                </c:pt>
                <c:pt idx="1">
                  <c:v>546</c:v>
                </c:pt>
                <c:pt idx="2">
                  <c:v>822</c:v>
                </c:pt>
                <c:pt idx="3">
                  <c:v>12902</c:v>
                </c:pt>
                <c:pt idx="4">
                  <c:v>5120</c:v>
                </c:pt>
                <c:pt idx="5">
                  <c:v>6782</c:v>
                </c:pt>
                <c:pt idx="6">
                  <c:v>56</c:v>
                </c:pt>
                <c:pt idx="7">
                  <c:v>70</c:v>
                </c:pt>
              </c:numCache>
            </c:numRef>
          </c:val>
          <c:extLst>
            <c:ext xmlns:c16="http://schemas.microsoft.com/office/drawing/2014/chart" uri="{C3380CC4-5D6E-409C-BE32-E72D297353CC}">
              <c16:uniqueId val="{00000045-AD0D-4FBA-BECE-6B64A27D312C}"/>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[BabyCareAnalysis.xlsx]Volume drop bwt 2023 to 2025!PivotTable3</c:name>
    <c:fmtId val="3"/>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a:solidFill>
                  <a:schemeClr val="tx1"/>
                </a:solidFill>
              </a:rPr>
              <a:t>Volume drop bwt 2023 to 2025</a:t>
            </a:r>
          </a:p>
        </c:rich>
      </c:tx>
      <c:layout>
        <c:manualLayout>
          <c:xMode val="edge"/>
          <c:yMode val="edge"/>
          <c:x val="0.27678743961352659"/>
          <c:y val="0.1172329584313557"/>
        </c:manualLayout>
      </c:layout>
      <c:overlay val="0"/>
      <c:spPr>
        <a:noFill/>
        <a:ln>
          <a:noFill/>
        </a:ln>
        <a:effectLst/>
      </c:spPr>
    </c:title>
    <c:autoTitleDeleted val="0"/>
    <c:pivotFmts>
      <c:pivotFmt>
        <c:idx val="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'Volume drop bwt 2023 to 2025'!$B$3</c:f>
              <c:strCache>
                <c:ptCount val="1"/>
                <c:pt idx="0">
                  <c:v>Total</c:v>
                </c:pt>
              </c:strCache>
            </c:strRef>
          </c:tx>
          <c:spPr>
            <a:ln w="28575" cap="rnd">
              <a:solidFill>
                <a:schemeClr val="accent2"/>
              </a:solidFill>
              <a:round/>
            </a:ln>
            <a:effectLst/>
          </c:spPr>
          <c:marker>
            <c:symbol val="none"/>
          </c:marker>
          <c:cat>
            <c:strRef>
              <c:f>'Volume drop bwt 2023 to 2025'!$A$4:$A$145</c:f>
              <c:strCache>
                <c:ptCount val="141"/>
                <c:pt idx="0">
                  <c:v>ALVESTA </c:v>
                </c:pt>
                <c:pt idx="1">
                  <c:v>AQUELLA </c:v>
                </c:pt>
                <c:pt idx="2">
                  <c:v>ASALI </c:v>
                </c:pt>
                <c:pt idx="3">
                  <c:v>AURA </c:v>
                </c:pt>
                <c:pt idx="4">
                  <c:v>BABY CARE </c:v>
                </c:pt>
                <c:pt idx="5">
                  <c:v>BABY CREMA </c:v>
                </c:pt>
                <c:pt idx="6">
                  <c:v>BABY LINO</c:v>
                </c:pt>
                <c:pt idx="7">
                  <c:v>BABY WISH </c:v>
                </c:pt>
                <c:pt idx="8">
                  <c:v>BABY2000</c:v>
                </c:pt>
                <c:pt idx="9">
                  <c:v>BABYCARE</c:v>
                </c:pt>
                <c:pt idx="10">
                  <c:v>BAMBO NATURE</c:v>
                </c:pt>
                <c:pt idx="11">
                  <c:v>BEBECAN </c:v>
                </c:pt>
                <c:pt idx="12">
                  <c:v>BEBIKO </c:v>
                </c:pt>
                <c:pt idx="13">
                  <c:v>BELUX </c:v>
                </c:pt>
                <c:pt idx="14">
                  <c:v>BERFINY </c:v>
                </c:pt>
                <c:pt idx="15">
                  <c:v>BETTY </c:v>
                </c:pt>
                <c:pt idx="16">
                  <c:v>BIG SOFT </c:v>
                </c:pt>
                <c:pt idx="17">
                  <c:v>BIMBO &amp; BIMBA </c:v>
                </c:pt>
                <c:pt idx="18">
                  <c:v>BIONIKE </c:v>
                </c:pt>
                <c:pt idx="19">
                  <c:v>BIVY</c:v>
                </c:pt>
                <c:pt idx="20">
                  <c:v>CAN BEBE </c:v>
                </c:pt>
                <c:pt idx="21">
                  <c:v>CHICCO </c:v>
                </c:pt>
                <c:pt idx="22">
                  <c:v>CLEANIC </c:v>
                </c:pt>
                <c:pt idx="23">
                  <c:v>CLEAR SIGHT</c:v>
                </c:pt>
                <c:pt idx="24">
                  <c:v>CONFY </c:v>
                </c:pt>
                <c:pt idx="25">
                  <c:v>COSMI</c:v>
                </c:pt>
                <c:pt idx="26">
                  <c:v>COTTON BABY </c:v>
                </c:pt>
                <c:pt idx="27">
                  <c:v>COTTON SOFT </c:v>
                </c:pt>
                <c:pt idx="28">
                  <c:v>DAISY </c:v>
                </c:pt>
                <c:pt idx="29">
                  <c:v>DOCTOR WIPES</c:v>
                </c:pt>
                <c:pt idx="30">
                  <c:v>DOVE </c:v>
                </c:pt>
                <c:pt idx="31">
                  <c:v>ELAN </c:v>
                </c:pt>
                <c:pt idx="32">
                  <c:v>ELVIM </c:v>
                </c:pt>
                <c:pt idx="33">
                  <c:v>EVENT BABY</c:v>
                </c:pt>
                <c:pt idx="34">
                  <c:v>EVY BABY </c:v>
                </c:pt>
                <c:pt idx="35">
                  <c:v>FARMACOTONE </c:v>
                </c:pt>
                <c:pt idx="36">
                  <c:v>FEMOLE </c:v>
                </c:pt>
                <c:pt idx="37">
                  <c:v>FLAMINGO </c:v>
                </c:pt>
                <c:pt idx="38">
                  <c:v>FRESH BABY </c:v>
                </c:pt>
                <c:pt idx="39">
                  <c:v>FRESH MAKER</c:v>
                </c:pt>
                <c:pt idx="40">
                  <c:v>FRESH RUNY </c:v>
                </c:pt>
                <c:pt idx="41">
                  <c:v>FRESH'N SOFT</c:v>
                </c:pt>
                <c:pt idx="42">
                  <c:v>GIAN </c:v>
                </c:pt>
                <c:pt idx="43">
                  <c:v>GOLDEN </c:v>
                </c:pt>
                <c:pt idx="44">
                  <c:v>HAPPY ALOE VERA</c:v>
                </c:pt>
                <c:pt idx="45">
                  <c:v>HAPPY FAMILY</c:v>
                </c:pt>
                <c:pt idx="46">
                  <c:v>HAPPY FRESH </c:v>
                </c:pt>
                <c:pt idx="47">
                  <c:v>HIMALAYA </c:v>
                </c:pt>
                <c:pt idx="48">
                  <c:v>HIPP BABYSANFT</c:v>
                </c:pt>
                <c:pt idx="49">
                  <c:v>HOPS </c:v>
                </c:pt>
                <c:pt idx="50">
                  <c:v>HUGGIES </c:v>
                </c:pt>
                <c:pt idx="51">
                  <c:v>HUGGLO </c:v>
                </c:pt>
                <c:pt idx="52">
                  <c:v>HUGO BABY </c:v>
                </c:pt>
                <c:pt idx="53">
                  <c:v>IASSMIN </c:v>
                </c:pt>
                <c:pt idx="54">
                  <c:v>INCI FRESH</c:v>
                </c:pt>
                <c:pt idx="55">
                  <c:v>JOHNSONS </c:v>
                </c:pt>
                <c:pt idx="56">
                  <c:v>JUNIOR &amp; TOMMY </c:v>
                </c:pt>
                <c:pt idx="57">
                  <c:v>KANZ</c:v>
                </c:pt>
                <c:pt idx="58">
                  <c:v>KIDS BABY</c:v>
                </c:pt>
                <c:pt idx="59">
                  <c:v>KLORANE </c:v>
                </c:pt>
                <c:pt idx="60">
                  <c:v>KOMILI </c:v>
                </c:pt>
                <c:pt idx="61">
                  <c:v>KOPRINA </c:v>
                </c:pt>
                <c:pt idx="62">
                  <c:v>KRISPA </c:v>
                </c:pt>
                <c:pt idx="63">
                  <c:v>LANSINOH </c:v>
                </c:pt>
                <c:pt idx="64">
                  <c:v>LARA BABY</c:v>
                </c:pt>
                <c:pt idx="65">
                  <c:v>LIBERO </c:v>
                </c:pt>
                <c:pt idx="66">
                  <c:v>LINDY </c:v>
                </c:pt>
                <c:pt idx="67">
                  <c:v>LIO FRESH </c:v>
                </c:pt>
                <c:pt idx="68">
                  <c:v>LUBA BABY</c:v>
                </c:pt>
                <c:pt idx="69">
                  <c:v>L'UNICO </c:v>
                </c:pt>
                <c:pt idx="70">
                  <c:v>MAIA </c:v>
                </c:pt>
                <c:pt idx="71">
                  <c:v>MAMMI </c:v>
                </c:pt>
                <c:pt idx="72">
                  <c:v>MEDPROFFESIONAL </c:v>
                </c:pt>
                <c:pt idx="73">
                  <c:v>MELANI </c:v>
                </c:pt>
                <c:pt idx="74">
                  <c:v>MIKE LINE </c:v>
                </c:pt>
                <c:pt idx="75">
                  <c:v>MIMI NICE</c:v>
                </c:pt>
                <c:pt idx="76">
                  <c:v>MIMOSA </c:v>
                </c:pt>
                <c:pt idx="77">
                  <c:v>MIS MAK </c:v>
                </c:pt>
                <c:pt idx="78">
                  <c:v>MOLFIX </c:v>
                </c:pt>
                <c:pt idx="79">
                  <c:v>MORS </c:v>
                </c:pt>
                <c:pt idx="80">
                  <c:v>MUSTELA </c:v>
                </c:pt>
                <c:pt idx="81">
                  <c:v>MY COMFORT </c:v>
                </c:pt>
                <c:pt idx="82">
                  <c:v>MY FIX </c:v>
                </c:pt>
                <c:pt idx="83">
                  <c:v>NAPEEZ BY GRACIA </c:v>
                </c:pt>
                <c:pt idx="84">
                  <c:v>NATY </c:v>
                </c:pt>
                <c:pt idx="85">
                  <c:v>NEMDIL </c:v>
                </c:pt>
                <c:pt idx="86">
                  <c:v>NICE BABY </c:v>
                </c:pt>
                <c:pt idx="87">
                  <c:v>NIKI </c:v>
                </c:pt>
                <c:pt idx="88">
                  <c:v>NIVEA BABY</c:v>
                </c:pt>
                <c:pt idx="89">
                  <c:v>OKIDOKI </c:v>
                </c:pt>
                <c:pt idx="90">
                  <c:v>PADDLERS </c:v>
                </c:pt>
                <c:pt idx="91">
                  <c:v>PAMPERS</c:v>
                </c:pt>
                <c:pt idx="92">
                  <c:v>PAPATYA </c:v>
                </c:pt>
                <c:pt idx="93">
                  <c:v>PAPILION </c:v>
                </c:pt>
                <c:pt idx="94">
                  <c:v>PAW PATROL </c:v>
                </c:pt>
                <c:pt idx="95">
                  <c:v>PEPINO </c:v>
                </c:pt>
                <c:pt idx="96">
                  <c:v>PEPPA PIG </c:v>
                </c:pt>
                <c:pt idx="97">
                  <c:v>PERFETTO </c:v>
                </c:pt>
                <c:pt idx="98">
                  <c:v>PETINO </c:v>
                </c:pt>
                <c:pt idx="99">
                  <c:v>PINE </c:v>
                </c:pt>
                <c:pt idx="100">
                  <c:v>PONKY </c:v>
                </c:pt>
                <c:pt idx="101">
                  <c:v>POZZY </c:v>
                </c:pt>
                <c:pt idx="102">
                  <c:v>PREMIUM QUALITY BABY</c:v>
                </c:pt>
                <c:pt idx="103">
                  <c:v>PRIMA </c:v>
                </c:pt>
                <c:pt idx="104">
                  <c:v>PRIME TALKO</c:v>
                </c:pt>
                <c:pt idx="105">
                  <c:v>PROSOFT </c:v>
                </c:pt>
                <c:pt idx="106">
                  <c:v>PUFFY </c:v>
                </c:pt>
                <c:pt idx="107">
                  <c:v>PUFY </c:v>
                </c:pt>
                <c:pt idx="108">
                  <c:v>PUFY BABY</c:v>
                </c:pt>
                <c:pt idx="109">
                  <c:v>PURE BABY</c:v>
                </c:pt>
                <c:pt idx="110">
                  <c:v>RENKLI </c:v>
                </c:pt>
                <c:pt idx="111">
                  <c:v>RENKLY</c:v>
                </c:pt>
                <c:pt idx="112">
                  <c:v>SEBAMED </c:v>
                </c:pt>
                <c:pt idx="113">
                  <c:v>SECKIN </c:v>
                </c:pt>
                <c:pt idx="114">
                  <c:v>SENCE BABY</c:v>
                </c:pt>
                <c:pt idx="115">
                  <c:v>SEPTONA </c:v>
                </c:pt>
                <c:pt idx="116">
                  <c:v>SETABLU </c:v>
                </c:pt>
                <c:pt idx="117">
                  <c:v>SLEEPY BABY</c:v>
                </c:pt>
                <c:pt idx="118">
                  <c:v>SLIPP </c:v>
                </c:pt>
                <c:pt idx="119">
                  <c:v>SMILE </c:v>
                </c:pt>
                <c:pt idx="120">
                  <c:v>SOFT CARE </c:v>
                </c:pt>
                <c:pt idx="121">
                  <c:v>SPEEDY CARE </c:v>
                </c:pt>
                <c:pt idx="122">
                  <c:v>SPRING LINE </c:v>
                </c:pt>
                <c:pt idx="123">
                  <c:v>SWEET  BABY</c:v>
                </c:pt>
                <c:pt idx="124">
                  <c:v>TANGO </c:v>
                </c:pt>
                <c:pt idx="125">
                  <c:v>TEX BABY</c:v>
                </c:pt>
                <c:pt idx="126">
                  <c:v>TITO </c:v>
                </c:pt>
                <c:pt idx="127">
                  <c:v>TOP BLITZ </c:v>
                </c:pt>
                <c:pt idx="128">
                  <c:v>TOVA </c:v>
                </c:pt>
                <c:pt idx="129">
                  <c:v>TROMPY </c:v>
                </c:pt>
                <c:pt idx="130">
                  <c:v>ULTRA COMPACT </c:v>
                </c:pt>
                <c:pt idx="131">
                  <c:v>UNAC </c:v>
                </c:pt>
                <c:pt idx="132">
                  <c:v>UNI </c:v>
                </c:pt>
                <c:pt idx="133">
                  <c:v>URIAGE </c:v>
                </c:pt>
                <c:pt idx="134">
                  <c:v>VIBELLE </c:v>
                </c:pt>
                <c:pt idx="135">
                  <c:v>VOI </c:v>
                </c:pt>
                <c:pt idx="136">
                  <c:v>WATER WIPES </c:v>
                </c:pt>
                <c:pt idx="137">
                  <c:v>WINEX </c:v>
                </c:pt>
                <c:pt idx="138">
                  <c:v>WIPEST </c:v>
                </c:pt>
                <c:pt idx="139">
                  <c:v>YESS BABY </c:v>
                </c:pt>
                <c:pt idx="140">
                  <c:v>(blank)</c:v>
                </c:pt>
              </c:strCache>
            </c:strRef>
          </c:cat>
          <c:val>
            <c:numRef>
              <c:f>'Volume drop bwt 2023 to 2025'!$B$4:$B$145</c:f>
              <c:numCache>
                <c:formatCode>General</c:formatCode>
                <c:ptCount val="141"/>
                <c:pt idx="0">
                  <c:v>714.9375</c:v>
                </c:pt>
                <c:pt idx="1">
                  <c:v>1783.5079000000001</c:v>
                </c:pt>
                <c:pt idx="2">
                  <c:v>1.9971000000000001</c:v>
                </c:pt>
                <c:pt idx="3">
                  <c:v>0</c:v>
                </c:pt>
                <c:pt idx="4">
                  <c:v>6142.2742000000007</c:v>
                </c:pt>
                <c:pt idx="5">
                  <c:v>62637.996599999991</c:v>
                </c:pt>
                <c:pt idx="6">
                  <c:v>146.12040000000002</c:v>
                </c:pt>
                <c:pt idx="7">
                  <c:v>-2828.6375999999996</c:v>
                </c:pt>
                <c:pt idx="8">
                  <c:v>9.4085999999999999</c:v>
                </c:pt>
                <c:pt idx="9">
                  <c:v>-1.9376000000000002</c:v>
                </c:pt>
                <c:pt idx="10">
                  <c:v>0</c:v>
                </c:pt>
                <c:pt idx="11">
                  <c:v>304.28749999999997</c:v>
                </c:pt>
                <c:pt idx="12">
                  <c:v>3.6661000000000001</c:v>
                </c:pt>
                <c:pt idx="13">
                  <c:v>1502.5164999999997</c:v>
                </c:pt>
                <c:pt idx="14">
                  <c:v>24.409400000000002</c:v>
                </c:pt>
                <c:pt idx="15">
                  <c:v>1.9417000000000002</c:v>
                </c:pt>
                <c:pt idx="16">
                  <c:v>1873.3029000000001</c:v>
                </c:pt>
                <c:pt idx="17">
                  <c:v>0</c:v>
                </c:pt>
                <c:pt idx="18">
                  <c:v>0.39080000000000004</c:v>
                </c:pt>
                <c:pt idx="19">
                  <c:v>768.71539999999993</c:v>
                </c:pt>
                <c:pt idx="20">
                  <c:v>16.541699999999999</c:v>
                </c:pt>
                <c:pt idx="21">
                  <c:v>40.203899999999997</c:v>
                </c:pt>
                <c:pt idx="22">
                  <c:v>25.639800000000001</c:v>
                </c:pt>
                <c:pt idx="23">
                  <c:v>-815.37659999999994</c:v>
                </c:pt>
                <c:pt idx="24">
                  <c:v>20.860500000000002</c:v>
                </c:pt>
                <c:pt idx="25">
                  <c:v>2.4085999999999999</c:v>
                </c:pt>
                <c:pt idx="26">
                  <c:v>0</c:v>
                </c:pt>
                <c:pt idx="27">
                  <c:v>8578.0195999999996</c:v>
                </c:pt>
                <c:pt idx="28">
                  <c:v>-110.1146</c:v>
                </c:pt>
                <c:pt idx="29">
                  <c:v>0.64290000000000003</c:v>
                </c:pt>
                <c:pt idx="30">
                  <c:v>152.27090000000001</c:v>
                </c:pt>
                <c:pt idx="31">
                  <c:v>5233.4970000000003</c:v>
                </c:pt>
                <c:pt idx="32">
                  <c:v>1098.9446000000003</c:v>
                </c:pt>
                <c:pt idx="33">
                  <c:v>4357.8273000000008</c:v>
                </c:pt>
                <c:pt idx="34">
                  <c:v>982.26199999999994</c:v>
                </c:pt>
                <c:pt idx="35">
                  <c:v>5.4412000000000003</c:v>
                </c:pt>
                <c:pt idx="36">
                  <c:v>4.8851999999999993</c:v>
                </c:pt>
                <c:pt idx="37">
                  <c:v>47.74350000000004</c:v>
                </c:pt>
                <c:pt idx="38">
                  <c:v>582.28050000000019</c:v>
                </c:pt>
                <c:pt idx="39">
                  <c:v>10517.853799999997</c:v>
                </c:pt>
                <c:pt idx="40">
                  <c:v>323.4391</c:v>
                </c:pt>
                <c:pt idx="41">
                  <c:v>-33.336300000000001</c:v>
                </c:pt>
                <c:pt idx="42">
                  <c:v>364.25839999999994</c:v>
                </c:pt>
                <c:pt idx="43">
                  <c:v>2311.7586999999999</c:v>
                </c:pt>
                <c:pt idx="44">
                  <c:v>-53.169200000000004</c:v>
                </c:pt>
                <c:pt idx="45">
                  <c:v>898.19450000000006</c:v>
                </c:pt>
                <c:pt idx="46">
                  <c:v>56.551799999999986</c:v>
                </c:pt>
                <c:pt idx="47">
                  <c:v>115.5257</c:v>
                </c:pt>
                <c:pt idx="48">
                  <c:v>806.25049999999999</c:v>
                </c:pt>
                <c:pt idx="49">
                  <c:v>-0.30320000000000003</c:v>
                </c:pt>
                <c:pt idx="50">
                  <c:v>1999.7779000000005</c:v>
                </c:pt>
                <c:pt idx="51">
                  <c:v>0</c:v>
                </c:pt>
                <c:pt idx="52">
                  <c:v>-9.1946999999999992</c:v>
                </c:pt>
                <c:pt idx="53">
                  <c:v>11.920500000000001</c:v>
                </c:pt>
                <c:pt idx="54">
                  <c:v>5540.0127000000002</c:v>
                </c:pt>
                <c:pt idx="55">
                  <c:v>44.150000000000006</c:v>
                </c:pt>
                <c:pt idx="56">
                  <c:v>58.400799999999997</c:v>
                </c:pt>
                <c:pt idx="57">
                  <c:v>-1525.6869999999999</c:v>
                </c:pt>
                <c:pt idx="58">
                  <c:v>6199.8365000000003</c:v>
                </c:pt>
                <c:pt idx="59">
                  <c:v>2.3674000000000004</c:v>
                </c:pt>
                <c:pt idx="60">
                  <c:v>3.4649000000000001</c:v>
                </c:pt>
                <c:pt idx="61">
                  <c:v>-3.3592</c:v>
                </c:pt>
                <c:pt idx="62">
                  <c:v>0</c:v>
                </c:pt>
                <c:pt idx="63">
                  <c:v>0</c:v>
                </c:pt>
                <c:pt idx="64">
                  <c:v>3843.0217999999995</c:v>
                </c:pt>
                <c:pt idx="65">
                  <c:v>27.6433</c:v>
                </c:pt>
                <c:pt idx="66">
                  <c:v>10246.054899999999</c:v>
                </c:pt>
                <c:pt idx="67">
                  <c:v>881.0868999999999</c:v>
                </c:pt>
                <c:pt idx="68">
                  <c:v>-116.864</c:v>
                </c:pt>
                <c:pt idx="69">
                  <c:v>379.09409999999997</c:v>
                </c:pt>
                <c:pt idx="70">
                  <c:v>-147.1721</c:v>
                </c:pt>
                <c:pt idx="71">
                  <c:v>429.25559999999996</c:v>
                </c:pt>
                <c:pt idx="72">
                  <c:v>252.19610000000003</c:v>
                </c:pt>
                <c:pt idx="73">
                  <c:v>3574.2648000000004</c:v>
                </c:pt>
                <c:pt idx="74">
                  <c:v>0.77590000000000003</c:v>
                </c:pt>
                <c:pt idx="75">
                  <c:v>189.79689999999999</c:v>
                </c:pt>
                <c:pt idx="76">
                  <c:v>587.9351999999999</c:v>
                </c:pt>
                <c:pt idx="77">
                  <c:v>2.7223000000000002</c:v>
                </c:pt>
                <c:pt idx="78">
                  <c:v>6858.3462000000009</c:v>
                </c:pt>
                <c:pt idx="79">
                  <c:v>18.222799999999999</c:v>
                </c:pt>
                <c:pt idx="80">
                  <c:v>62.846900000000005</c:v>
                </c:pt>
                <c:pt idx="81">
                  <c:v>1215.3109999999999</c:v>
                </c:pt>
                <c:pt idx="82">
                  <c:v>0</c:v>
                </c:pt>
                <c:pt idx="83">
                  <c:v>717.55590000000007</c:v>
                </c:pt>
                <c:pt idx="84">
                  <c:v>0.30399999999999999</c:v>
                </c:pt>
                <c:pt idx="85">
                  <c:v>4546.2993999999999</c:v>
                </c:pt>
                <c:pt idx="86">
                  <c:v>1541.4431999999999</c:v>
                </c:pt>
                <c:pt idx="87">
                  <c:v>478.19449999999995</c:v>
                </c:pt>
                <c:pt idx="88">
                  <c:v>447.37679999999995</c:v>
                </c:pt>
                <c:pt idx="89">
                  <c:v>0</c:v>
                </c:pt>
                <c:pt idx="90">
                  <c:v>0</c:v>
                </c:pt>
                <c:pt idx="91">
                  <c:v>23905.680499999995</c:v>
                </c:pt>
                <c:pt idx="92">
                  <c:v>2.1406000000000001</c:v>
                </c:pt>
                <c:pt idx="93">
                  <c:v>2773.4540999999999</c:v>
                </c:pt>
                <c:pt idx="94">
                  <c:v>2.3182999999999998</c:v>
                </c:pt>
                <c:pt idx="95">
                  <c:v>2787.5027</c:v>
                </c:pt>
                <c:pt idx="96">
                  <c:v>1.9024000000000001</c:v>
                </c:pt>
                <c:pt idx="97">
                  <c:v>-0.17710000000000001</c:v>
                </c:pt>
                <c:pt idx="98">
                  <c:v>8392.519400000001</c:v>
                </c:pt>
                <c:pt idx="99">
                  <c:v>69.132099999999994</c:v>
                </c:pt>
                <c:pt idx="100">
                  <c:v>827.32390000000009</c:v>
                </c:pt>
                <c:pt idx="101">
                  <c:v>0</c:v>
                </c:pt>
                <c:pt idx="102">
                  <c:v>124.50389999999999</c:v>
                </c:pt>
                <c:pt idx="103">
                  <c:v>0.2389</c:v>
                </c:pt>
                <c:pt idx="104">
                  <c:v>0</c:v>
                </c:pt>
                <c:pt idx="105">
                  <c:v>-1349.5799</c:v>
                </c:pt>
                <c:pt idx="106">
                  <c:v>0</c:v>
                </c:pt>
                <c:pt idx="107">
                  <c:v>61.170400000000008</c:v>
                </c:pt>
                <c:pt idx="108">
                  <c:v>141.76490000000001</c:v>
                </c:pt>
                <c:pt idx="109">
                  <c:v>3216.7950999999998</c:v>
                </c:pt>
                <c:pt idx="110">
                  <c:v>9247.7762000000002</c:v>
                </c:pt>
                <c:pt idx="111">
                  <c:v>279.14370000000002</c:v>
                </c:pt>
                <c:pt idx="112">
                  <c:v>5.9284999999999997</c:v>
                </c:pt>
                <c:pt idx="113">
                  <c:v>113.29300000000001</c:v>
                </c:pt>
                <c:pt idx="114">
                  <c:v>0</c:v>
                </c:pt>
                <c:pt idx="115">
                  <c:v>4192.6634999999997</c:v>
                </c:pt>
                <c:pt idx="116">
                  <c:v>0</c:v>
                </c:pt>
                <c:pt idx="117">
                  <c:v>8155.6150999999991</c:v>
                </c:pt>
                <c:pt idx="118">
                  <c:v>-34.035699999999999</c:v>
                </c:pt>
                <c:pt idx="119">
                  <c:v>31.3537</c:v>
                </c:pt>
                <c:pt idx="120">
                  <c:v>9.7604000000000042</c:v>
                </c:pt>
                <c:pt idx="121">
                  <c:v>0</c:v>
                </c:pt>
                <c:pt idx="122">
                  <c:v>345.19709999999998</c:v>
                </c:pt>
                <c:pt idx="123">
                  <c:v>1.2579</c:v>
                </c:pt>
                <c:pt idx="124">
                  <c:v>314.18090000000001</c:v>
                </c:pt>
                <c:pt idx="125">
                  <c:v>4.4342000000000024</c:v>
                </c:pt>
                <c:pt idx="126">
                  <c:v>7049.8493999999992</c:v>
                </c:pt>
                <c:pt idx="127">
                  <c:v>18.760100000000001</c:v>
                </c:pt>
                <c:pt idx="128">
                  <c:v>-171.71680000000001</c:v>
                </c:pt>
                <c:pt idx="129">
                  <c:v>0.48380000000000001</c:v>
                </c:pt>
                <c:pt idx="130">
                  <c:v>426.12529999999998</c:v>
                </c:pt>
                <c:pt idx="131">
                  <c:v>-76.065599999999961</c:v>
                </c:pt>
                <c:pt idx="132">
                  <c:v>-1.7425999999999999</c:v>
                </c:pt>
                <c:pt idx="133">
                  <c:v>32.278999999999982</c:v>
                </c:pt>
                <c:pt idx="134">
                  <c:v>3243.5454</c:v>
                </c:pt>
                <c:pt idx="135">
                  <c:v>0</c:v>
                </c:pt>
                <c:pt idx="136">
                  <c:v>1117.7899</c:v>
                </c:pt>
                <c:pt idx="137">
                  <c:v>214.09450000000001</c:v>
                </c:pt>
                <c:pt idx="138">
                  <c:v>1139.5917999999999</c:v>
                </c:pt>
                <c:pt idx="139">
                  <c:v>1508.1076</c:v>
                </c:pt>
              </c:numCache>
            </c:numRef>
          </c:val>
          <c:smooth val="0"/>
          <c:extLst>
            <c:ext xmlns:c16="http://schemas.microsoft.com/office/drawing/2014/chart" uri="{C3380CC4-5D6E-409C-BE32-E72D297353CC}">
              <c16:uniqueId val="{00000001-9D3A-4ED6-A012-5506EA2C0064}"/>
            </c:ext>
          </c:extLst>
        </c:ser>
        <c:dLbls>
          <c:showLegendKey val="0"/>
          <c:showVal val="0"/>
          <c:showCatName val="0"/>
          <c:showSerName val="0"/>
          <c:showPercent val="0"/>
          <c:showBubbleSize val="0"/>
        </c:dLbls>
        <c:smooth val="0"/>
        <c:axId val="2068047519"/>
        <c:axId val="2068048959"/>
      </c:lineChart>
      <c:catAx>
        <c:axId val="206804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8048959"/>
        <c:crosses val="autoZero"/>
        <c:auto val="1"/>
        <c:lblAlgn val="ctr"/>
        <c:lblOffset val="100"/>
        <c:noMultiLvlLbl val="0"/>
      </c:catAx>
      <c:valAx>
        <c:axId val="2068048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804751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[BabyCareAnalysis.xlsx]2022 to 2023 value growthdrop!PivotTable2</c:name>
    <c:fmtId val="2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2022 to 2023 value growth and drop</a:t>
            </a:r>
          </a:p>
        </c:rich>
      </c:tx>
      <c:layout>
        <c:manualLayout>
          <c:xMode val="edge"/>
          <c:yMode val="edge"/>
          <c:x val="0.33013722116497674"/>
          <c:y val="0.117123448114312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rgbClr val="A5002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'2022 to 2023 value growthdrop'!$B$3</c:f>
              <c:strCache>
                <c:ptCount val="1"/>
                <c:pt idx="0">
                  <c:v>Total</c:v>
                </c:pt>
              </c:strCache>
            </c:strRef>
          </c:tx>
          <c:spPr>
            <a:ln w="28575" cap="rnd">
              <a:solidFill>
                <a:schemeClr val="accent2"/>
              </a:solidFill>
              <a:round/>
            </a:ln>
            <a:effectLst/>
          </c:spPr>
          <c:marker>
            <c:symbol val="circle"/>
            <c:size val="5"/>
            <c:spPr>
              <a:solidFill>
                <a:srgbClr val="A50021"/>
              </a:solidFill>
              <a:ln w="9525">
                <a:solidFill>
                  <a:schemeClr val="accent2"/>
                </a:solidFill>
              </a:ln>
              <a:effectLst/>
            </c:spPr>
          </c:marker>
          <c:cat>
            <c:strRef>
              <c:f>'2022 to 2023 value growthdrop'!$A$4:$A$144</c:f>
              <c:strCache>
                <c:ptCount val="140"/>
                <c:pt idx="0">
                  <c:v>ALVESTA </c:v>
                </c:pt>
                <c:pt idx="1">
                  <c:v>AQUELLA </c:v>
                </c:pt>
                <c:pt idx="2">
                  <c:v>ASALI </c:v>
                </c:pt>
                <c:pt idx="3">
                  <c:v>AURA </c:v>
                </c:pt>
                <c:pt idx="4">
                  <c:v>BABY CARE </c:v>
                </c:pt>
                <c:pt idx="5">
                  <c:v>BABY CREMA </c:v>
                </c:pt>
                <c:pt idx="6">
                  <c:v>BABY LINO</c:v>
                </c:pt>
                <c:pt idx="7">
                  <c:v>BABY WISH </c:v>
                </c:pt>
                <c:pt idx="8">
                  <c:v>BABY2000</c:v>
                </c:pt>
                <c:pt idx="9">
                  <c:v>BABYCARE</c:v>
                </c:pt>
                <c:pt idx="10">
                  <c:v>BAMBO NATURE</c:v>
                </c:pt>
                <c:pt idx="11">
                  <c:v>BEBECAN </c:v>
                </c:pt>
                <c:pt idx="12">
                  <c:v>BEBIKO </c:v>
                </c:pt>
                <c:pt idx="13">
                  <c:v>BELUX </c:v>
                </c:pt>
                <c:pt idx="14">
                  <c:v>BERFINY </c:v>
                </c:pt>
                <c:pt idx="15">
                  <c:v>BETTY </c:v>
                </c:pt>
                <c:pt idx="16">
                  <c:v>BIG SOFT </c:v>
                </c:pt>
                <c:pt idx="17">
                  <c:v>BIMBO &amp; BIMBA </c:v>
                </c:pt>
                <c:pt idx="18">
                  <c:v>BIONIKE </c:v>
                </c:pt>
                <c:pt idx="19">
                  <c:v>BIVY</c:v>
                </c:pt>
                <c:pt idx="20">
                  <c:v>CAN BEBE </c:v>
                </c:pt>
                <c:pt idx="21">
                  <c:v>CHICCO </c:v>
                </c:pt>
                <c:pt idx="22">
                  <c:v>CLEANIC </c:v>
                </c:pt>
                <c:pt idx="23">
                  <c:v>CLEAR SIGHT</c:v>
                </c:pt>
                <c:pt idx="24">
                  <c:v>CONFY </c:v>
                </c:pt>
                <c:pt idx="25">
                  <c:v>COSMI</c:v>
                </c:pt>
                <c:pt idx="26">
                  <c:v>COTTON BABY </c:v>
                </c:pt>
                <c:pt idx="27">
                  <c:v>COTTON SOFT </c:v>
                </c:pt>
                <c:pt idx="28">
                  <c:v>DAISY </c:v>
                </c:pt>
                <c:pt idx="29">
                  <c:v>DOCTOR WIPES</c:v>
                </c:pt>
                <c:pt idx="30">
                  <c:v>DOVE </c:v>
                </c:pt>
                <c:pt idx="31">
                  <c:v>ELAN </c:v>
                </c:pt>
                <c:pt idx="32">
                  <c:v>ELVIM </c:v>
                </c:pt>
                <c:pt idx="33">
                  <c:v>EVENT BABY</c:v>
                </c:pt>
                <c:pt idx="34">
                  <c:v>EVY BABY </c:v>
                </c:pt>
                <c:pt idx="35">
                  <c:v>FARMACOTONE </c:v>
                </c:pt>
                <c:pt idx="36">
                  <c:v>FEMOLE </c:v>
                </c:pt>
                <c:pt idx="37">
                  <c:v>FLAMINGO </c:v>
                </c:pt>
                <c:pt idx="38">
                  <c:v>FRESH BABY </c:v>
                </c:pt>
                <c:pt idx="39">
                  <c:v>FRESH MAKER</c:v>
                </c:pt>
                <c:pt idx="40">
                  <c:v>FRESH RUNY </c:v>
                </c:pt>
                <c:pt idx="41">
                  <c:v>FRESH'N SOFT</c:v>
                </c:pt>
                <c:pt idx="42">
                  <c:v>GIAN </c:v>
                </c:pt>
                <c:pt idx="43">
                  <c:v>GOLDEN </c:v>
                </c:pt>
                <c:pt idx="44">
                  <c:v>HAPPY ALOE VERA</c:v>
                </c:pt>
                <c:pt idx="45">
                  <c:v>HAPPY FAMILY</c:v>
                </c:pt>
                <c:pt idx="46">
                  <c:v>HAPPY FRESH </c:v>
                </c:pt>
                <c:pt idx="47">
                  <c:v>HIMALAYA </c:v>
                </c:pt>
                <c:pt idx="48">
                  <c:v>HIPP BABYSANFT</c:v>
                </c:pt>
                <c:pt idx="49">
                  <c:v>HOPS </c:v>
                </c:pt>
                <c:pt idx="50">
                  <c:v>HUGGIES </c:v>
                </c:pt>
                <c:pt idx="51">
                  <c:v>HUGGLO </c:v>
                </c:pt>
                <c:pt idx="52">
                  <c:v>HUGO BABY </c:v>
                </c:pt>
                <c:pt idx="53">
                  <c:v>IASSMIN </c:v>
                </c:pt>
                <c:pt idx="54">
                  <c:v>INCI FRESH</c:v>
                </c:pt>
                <c:pt idx="55">
                  <c:v>JOHNSONS </c:v>
                </c:pt>
                <c:pt idx="56">
                  <c:v>JUNIOR &amp; TOMMY </c:v>
                </c:pt>
                <c:pt idx="57">
                  <c:v>KANZ</c:v>
                </c:pt>
                <c:pt idx="58">
                  <c:v>KIDS BABY</c:v>
                </c:pt>
                <c:pt idx="59">
                  <c:v>KLORANE </c:v>
                </c:pt>
                <c:pt idx="60">
                  <c:v>KOMILI </c:v>
                </c:pt>
                <c:pt idx="61">
                  <c:v>KOPRINA </c:v>
                </c:pt>
                <c:pt idx="62">
                  <c:v>KRISPA </c:v>
                </c:pt>
                <c:pt idx="63">
                  <c:v>LANSINOH </c:v>
                </c:pt>
                <c:pt idx="64">
                  <c:v>LARA BABY</c:v>
                </c:pt>
                <c:pt idx="65">
                  <c:v>LIBERO </c:v>
                </c:pt>
                <c:pt idx="66">
                  <c:v>LINDY </c:v>
                </c:pt>
                <c:pt idx="67">
                  <c:v>LIO FRESH </c:v>
                </c:pt>
                <c:pt idx="68">
                  <c:v>LUBA BABY</c:v>
                </c:pt>
                <c:pt idx="69">
                  <c:v>L'UNICO </c:v>
                </c:pt>
                <c:pt idx="70">
                  <c:v>MAIA </c:v>
                </c:pt>
                <c:pt idx="71">
                  <c:v>MAMMI </c:v>
                </c:pt>
                <c:pt idx="72">
                  <c:v>MEDPROFFESIONAL </c:v>
                </c:pt>
                <c:pt idx="73">
                  <c:v>MELANI </c:v>
                </c:pt>
                <c:pt idx="74">
                  <c:v>MIKE LINE </c:v>
                </c:pt>
                <c:pt idx="75">
                  <c:v>MIMI NICE</c:v>
                </c:pt>
                <c:pt idx="76">
                  <c:v>MIMOSA </c:v>
                </c:pt>
                <c:pt idx="77">
                  <c:v>MIS MAK </c:v>
                </c:pt>
                <c:pt idx="78">
                  <c:v>MOLFIX </c:v>
                </c:pt>
                <c:pt idx="79">
                  <c:v>MORS </c:v>
                </c:pt>
                <c:pt idx="80">
                  <c:v>MUSTELA </c:v>
                </c:pt>
                <c:pt idx="81">
                  <c:v>MY COMFORT </c:v>
                </c:pt>
                <c:pt idx="82">
                  <c:v>MY FIX </c:v>
                </c:pt>
                <c:pt idx="83">
                  <c:v>NAPEEZ BY GRACIA </c:v>
                </c:pt>
                <c:pt idx="84">
                  <c:v>NATY </c:v>
                </c:pt>
                <c:pt idx="85">
                  <c:v>NEMDIL </c:v>
                </c:pt>
                <c:pt idx="86">
                  <c:v>NICE BABY </c:v>
                </c:pt>
                <c:pt idx="87">
                  <c:v>NIKI </c:v>
                </c:pt>
                <c:pt idx="88">
                  <c:v>NIVEA BABY</c:v>
                </c:pt>
                <c:pt idx="89">
                  <c:v>OKIDOKI </c:v>
                </c:pt>
                <c:pt idx="90">
                  <c:v>PADDLERS </c:v>
                </c:pt>
                <c:pt idx="91">
                  <c:v>PAMPERS</c:v>
                </c:pt>
                <c:pt idx="92">
                  <c:v>PAPATYA </c:v>
                </c:pt>
                <c:pt idx="93">
                  <c:v>PAPILION </c:v>
                </c:pt>
                <c:pt idx="94">
                  <c:v>PAW PATROL </c:v>
                </c:pt>
                <c:pt idx="95">
                  <c:v>PEPINO </c:v>
                </c:pt>
                <c:pt idx="96">
                  <c:v>PEPPA PIG </c:v>
                </c:pt>
                <c:pt idx="97">
                  <c:v>PERFETTO </c:v>
                </c:pt>
                <c:pt idx="98">
                  <c:v>PETINO </c:v>
                </c:pt>
                <c:pt idx="99">
                  <c:v>PINE </c:v>
                </c:pt>
                <c:pt idx="100">
                  <c:v>PONKY </c:v>
                </c:pt>
                <c:pt idx="101">
                  <c:v>POZZY </c:v>
                </c:pt>
                <c:pt idx="102">
                  <c:v>PREMIUM QUALITY BABY</c:v>
                </c:pt>
                <c:pt idx="103">
                  <c:v>PRIMA </c:v>
                </c:pt>
                <c:pt idx="104">
                  <c:v>PRIME TALKO</c:v>
                </c:pt>
                <c:pt idx="105">
                  <c:v>PROSOFT </c:v>
                </c:pt>
                <c:pt idx="106">
                  <c:v>PUFFY </c:v>
                </c:pt>
                <c:pt idx="107">
                  <c:v>PUFY </c:v>
                </c:pt>
                <c:pt idx="108">
                  <c:v>PUFY BABY</c:v>
                </c:pt>
                <c:pt idx="109">
                  <c:v>PURE BABY</c:v>
                </c:pt>
                <c:pt idx="110">
                  <c:v>RENKLI </c:v>
                </c:pt>
                <c:pt idx="111">
                  <c:v>RENKLY</c:v>
                </c:pt>
                <c:pt idx="112">
                  <c:v>SEBAMED </c:v>
                </c:pt>
                <c:pt idx="113">
                  <c:v>SECKIN </c:v>
                </c:pt>
                <c:pt idx="114">
                  <c:v>SENCE BABY</c:v>
                </c:pt>
                <c:pt idx="115">
                  <c:v>SEPTONA </c:v>
                </c:pt>
                <c:pt idx="116">
                  <c:v>SETABLU </c:v>
                </c:pt>
                <c:pt idx="117">
                  <c:v>SLEEPY BABY</c:v>
                </c:pt>
                <c:pt idx="118">
                  <c:v>SLIPP </c:v>
                </c:pt>
                <c:pt idx="119">
                  <c:v>SMILE </c:v>
                </c:pt>
                <c:pt idx="120">
                  <c:v>SOFT CARE </c:v>
                </c:pt>
                <c:pt idx="121">
                  <c:v>SPEEDY CARE </c:v>
                </c:pt>
                <c:pt idx="122">
                  <c:v>SPRING LINE </c:v>
                </c:pt>
                <c:pt idx="123">
                  <c:v>SWEET  BABY</c:v>
                </c:pt>
                <c:pt idx="124">
                  <c:v>TANGO </c:v>
                </c:pt>
                <c:pt idx="125">
                  <c:v>TEX BABY</c:v>
                </c:pt>
                <c:pt idx="126">
                  <c:v>TITO </c:v>
                </c:pt>
                <c:pt idx="127">
                  <c:v>TOP BLITZ </c:v>
                </c:pt>
                <c:pt idx="128">
                  <c:v>TOVA </c:v>
                </c:pt>
                <c:pt idx="129">
                  <c:v>TROMPY </c:v>
                </c:pt>
                <c:pt idx="130">
                  <c:v>ULTRA COMPACT </c:v>
                </c:pt>
                <c:pt idx="131">
                  <c:v>UNAC </c:v>
                </c:pt>
                <c:pt idx="132">
                  <c:v>UNI </c:v>
                </c:pt>
                <c:pt idx="133">
                  <c:v>URIAGE </c:v>
                </c:pt>
                <c:pt idx="134">
                  <c:v>VIBELLE </c:v>
                </c:pt>
                <c:pt idx="135">
                  <c:v>VOI </c:v>
                </c:pt>
                <c:pt idx="136">
                  <c:v>WATER WIPES </c:v>
                </c:pt>
                <c:pt idx="137">
                  <c:v>WINEX </c:v>
                </c:pt>
                <c:pt idx="138">
                  <c:v>WIPEST </c:v>
                </c:pt>
                <c:pt idx="139">
                  <c:v>YESS BABY </c:v>
                </c:pt>
              </c:strCache>
            </c:strRef>
          </c:cat>
          <c:val>
            <c:numRef>
              <c:f>'2022 to 2023 value growthdrop'!$B$4:$B$144</c:f>
              <c:numCache>
                <c:formatCode>General</c:formatCode>
                <c:ptCount val="140"/>
                <c:pt idx="0">
                  <c:v>11.765500000000001</c:v>
                </c:pt>
                <c:pt idx="1">
                  <c:v>18.009099999999997</c:v>
                </c:pt>
                <c:pt idx="2">
                  <c:v>1.9661999999999999</c:v>
                </c:pt>
                <c:pt idx="3">
                  <c:v>4.0545</c:v>
                </c:pt>
                <c:pt idx="4">
                  <c:v>-32.48820000000002</c:v>
                </c:pt>
                <c:pt idx="5">
                  <c:v>-86.541999999999931</c:v>
                </c:pt>
                <c:pt idx="6">
                  <c:v>50.3812</c:v>
                </c:pt>
                <c:pt idx="7">
                  <c:v>-1.8077000000000001</c:v>
                </c:pt>
                <c:pt idx="8">
                  <c:v>1.3109999999999999</c:v>
                </c:pt>
                <c:pt idx="9">
                  <c:v>-3.7900000000000003E-2</c:v>
                </c:pt>
                <c:pt idx="10">
                  <c:v>1.09E-2</c:v>
                </c:pt>
                <c:pt idx="11">
                  <c:v>-0.51450000000000085</c:v>
                </c:pt>
                <c:pt idx="12">
                  <c:v>-0.79349999999999998</c:v>
                </c:pt>
                <c:pt idx="13">
                  <c:v>21.406600000000005</c:v>
                </c:pt>
                <c:pt idx="14">
                  <c:v>1.9916999999999998</c:v>
                </c:pt>
                <c:pt idx="15">
                  <c:v>1.9943999999999997</c:v>
                </c:pt>
                <c:pt idx="16">
                  <c:v>-31.5181</c:v>
                </c:pt>
                <c:pt idx="17">
                  <c:v>12.684200000000001</c:v>
                </c:pt>
                <c:pt idx="18">
                  <c:v>-6.3299999999999995E-2</c:v>
                </c:pt>
                <c:pt idx="19">
                  <c:v>21.225400000000004</c:v>
                </c:pt>
                <c:pt idx="20">
                  <c:v>-0.34839999999999999</c:v>
                </c:pt>
                <c:pt idx="21">
                  <c:v>0.9778</c:v>
                </c:pt>
                <c:pt idx="22">
                  <c:v>-3.052</c:v>
                </c:pt>
                <c:pt idx="23">
                  <c:v>-19.203699999999998</c:v>
                </c:pt>
                <c:pt idx="24">
                  <c:v>-0.46079999999999993</c:v>
                </c:pt>
                <c:pt idx="25">
                  <c:v>-0.1202</c:v>
                </c:pt>
                <c:pt idx="26">
                  <c:v>1.6358000000000001</c:v>
                </c:pt>
                <c:pt idx="27">
                  <c:v>-2.731199999999979</c:v>
                </c:pt>
                <c:pt idx="28">
                  <c:v>0</c:v>
                </c:pt>
                <c:pt idx="29">
                  <c:v>1.7048000000000001</c:v>
                </c:pt>
                <c:pt idx="30">
                  <c:v>-20.265900000000002</c:v>
                </c:pt>
                <c:pt idx="31">
                  <c:v>-170.66500000000002</c:v>
                </c:pt>
                <c:pt idx="32">
                  <c:v>24.3476</c:v>
                </c:pt>
                <c:pt idx="33">
                  <c:v>23.642999999999994</c:v>
                </c:pt>
                <c:pt idx="34">
                  <c:v>-22.611699999999999</c:v>
                </c:pt>
                <c:pt idx="35">
                  <c:v>-0.1537</c:v>
                </c:pt>
                <c:pt idx="36">
                  <c:v>9.0914000000000001</c:v>
                </c:pt>
                <c:pt idx="37">
                  <c:v>-19.032699999999998</c:v>
                </c:pt>
                <c:pt idx="38">
                  <c:v>30.122900000000001</c:v>
                </c:pt>
                <c:pt idx="39">
                  <c:v>95.630599999999987</c:v>
                </c:pt>
                <c:pt idx="40">
                  <c:v>21.844199999999997</c:v>
                </c:pt>
                <c:pt idx="41">
                  <c:v>0.30569999999999997</c:v>
                </c:pt>
                <c:pt idx="42">
                  <c:v>-46.244399999999999</c:v>
                </c:pt>
                <c:pt idx="43">
                  <c:v>-71.560200000000009</c:v>
                </c:pt>
                <c:pt idx="44">
                  <c:v>-6.88E-2</c:v>
                </c:pt>
                <c:pt idx="45">
                  <c:v>21.470699999999997</c:v>
                </c:pt>
                <c:pt idx="46">
                  <c:v>-1.8573</c:v>
                </c:pt>
                <c:pt idx="47">
                  <c:v>-2.6458000000000008</c:v>
                </c:pt>
                <c:pt idx="48">
                  <c:v>64.440300000000008</c:v>
                </c:pt>
                <c:pt idx="49">
                  <c:v>0</c:v>
                </c:pt>
                <c:pt idx="50">
                  <c:v>-19.246100000000002</c:v>
                </c:pt>
                <c:pt idx="51">
                  <c:v>0.70520000000000005</c:v>
                </c:pt>
                <c:pt idx="52">
                  <c:v>0</c:v>
                </c:pt>
                <c:pt idx="53">
                  <c:v>9.6400000000000013E-2</c:v>
                </c:pt>
                <c:pt idx="54">
                  <c:v>99.001300000000001</c:v>
                </c:pt>
                <c:pt idx="55">
                  <c:v>32.397600000000004</c:v>
                </c:pt>
                <c:pt idx="56">
                  <c:v>7.2749000000000006</c:v>
                </c:pt>
                <c:pt idx="57">
                  <c:v>-13.192</c:v>
                </c:pt>
                <c:pt idx="58">
                  <c:v>64.127299999999991</c:v>
                </c:pt>
                <c:pt idx="59">
                  <c:v>0.48560000000000003</c:v>
                </c:pt>
                <c:pt idx="60">
                  <c:v>6.0209999999999999</c:v>
                </c:pt>
                <c:pt idx="61">
                  <c:v>0</c:v>
                </c:pt>
                <c:pt idx="62">
                  <c:v>1.1900000000000001E-2</c:v>
                </c:pt>
                <c:pt idx="63">
                  <c:v>7.0000000000000001E-3</c:v>
                </c:pt>
                <c:pt idx="64">
                  <c:v>-12.47209999999999</c:v>
                </c:pt>
                <c:pt idx="65">
                  <c:v>7.4918999999999993</c:v>
                </c:pt>
                <c:pt idx="66">
                  <c:v>4.4762999999999931</c:v>
                </c:pt>
                <c:pt idx="67">
                  <c:v>5.5361000000000011</c:v>
                </c:pt>
                <c:pt idx="68">
                  <c:v>-4.4634999999999998</c:v>
                </c:pt>
                <c:pt idx="69">
                  <c:v>-6.2138</c:v>
                </c:pt>
                <c:pt idx="70">
                  <c:v>-10.2052</c:v>
                </c:pt>
                <c:pt idx="71">
                  <c:v>4.3250999999999991</c:v>
                </c:pt>
                <c:pt idx="72">
                  <c:v>14.2964</c:v>
                </c:pt>
                <c:pt idx="73">
                  <c:v>9.4796000000000049</c:v>
                </c:pt>
                <c:pt idx="74">
                  <c:v>7.4715999999999996</c:v>
                </c:pt>
                <c:pt idx="75">
                  <c:v>-7.2421000000000006</c:v>
                </c:pt>
                <c:pt idx="76">
                  <c:v>-5.6108999999999991</c:v>
                </c:pt>
                <c:pt idx="77">
                  <c:v>-1.7299999999999996E-2</c:v>
                </c:pt>
                <c:pt idx="78">
                  <c:v>-74.076999999999984</c:v>
                </c:pt>
                <c:pt idx="79">
                  <c:v>12.3179</c:v>
                </c:pt>
                <c:pt idx="80">
                  <c:v>3.6947000000000001</c:v>
                </c:pt>
                <c:pt idx="81">
                  <c:v>54.371099999999998</c:v>
                </c:pt>
                <c:pt idx="82">
                  <c:v>1.0731999999999999</c:v>
                </c:pt>
                <c:pt idx="83">
                  <c:v>-7.5597000000000012</c:v>
                </c:pt>
                <c:pt idx="84">
                  <c:v>0.27279999999999999</c:v>
                </c:pt>
                <c:pt idx="85">
                  <c:v>-19.205400000000004</c:v>
                </c:pt>
                <c:pt idx="86">
                  <c:v>9.5657999999999994</c:v>
                </c:pt>
                <c:pt idx="87">
                  <c:v>-3.5154000000000005</c:v>
                </c:pt>
                <c:pt idx="88">
                  <c:v>31.995299999999997</c:v>
                </c:pt>
                <c:pt idx="89">
                  <c:v>1.03E-2</c:v>
                </c:pt>
                <c:pt idx="90">
                  <c:v>8.9794</c:v>
                </c:pt>
                <c:pt idx="91">
                  <c:v>-283.52600000000012</c:v>
                </c:pt>
                <c:pt idx="92">
                  <c:v>0.30810000000000004</c:v>
                </c:pt>
                <c:pt idx="93">
                  <c:v>10.241099999999999</c:v>
                </c:pt>
                <c:pt idx="94">
                  <c:v>-0.2286</c:v>
                </c:pt>
                <c:pt idx="95">
                  <c:v>-2.0231000000000021</c:v>
                </c:pt>
                <c:pt idx="96">
                  <c:v>-0.22009999999999999</c:v>
                </c:pt>
                <c:pt idx="97">
                  <c:v>0</c:v>
                </c:pt>
                <c:pt idx="98">
                  <c:v>-68.265499999999975</c:v>
                </c:pt>
                <c:pt idx="99">
                  <c:v>-0.51859999999999995</c:v>
                </c:pt>
                <c:pt idx="100">
                  <c:v>40.106100000000005</c:v>
                </c:pt>
                <c:pt idx="101">
                  <c:v>1.18</c:v>
                </c:pt>
                <c:pt idx="102">
                  <c:v>-0.52689999999999948</c:v>
                </c:pt>
                <c:pt idx="103">
                  <c:v>0.36180000000000001</c:v>
                </c:pt>
                <c:pt idx="104">
                  <c:v>9.1873000000000005</c:v>
                </c:pt>
                <c:pt idx="105">
                  <c:v>-5.9899999999999995E-2</c:v>
                </c:pt>
                <c:pt idx="106">
                  <c:v>2.6486999999999998</c:v>
                </c:pt>
                <c:pt idx="107">
                  <c:v>-1.9802000000000002</c:v>
                </c:pt>
                <c:pt idx="108">
                  <c:v>-5.2800000000000402E-2</c:v>
                </c:pt>
                <c:pt idx="109">
                  <c:v>20.6035</c:v>
                </c:pt>
                <c:pt idx="110">
                  <c:v>142.5198</c:v>
                </c:pt>
                <c:pt idx="111">
                  <c:v>17.602199999999996</c:v>
                </c:pt>
                <c:pt idx="112">
                  <c:v>-0.39329999999999998</c:v>
                </c:pt>
                <c:pt idx="113">
                  <c:v>-0.88320000000000021</c:v>
                </c:pt>
                <c:pt idx="114">
                  <c:v>0.13550000000000001</c:v>
                </c:pt>
                <c:pt idx="115">
                  <c:v>-4.7899999999998499E-2</c:v>
                </c:pt>
                <c:pt idx="116">
                  <c:v>0.24010000000000001</c:v>
                </c:pt>
                <c:pt idx="117">
                  <c:v>-161.38569999999999</c:v>
                </c:pt>
                <c:pt idx="118">
                  <c:v>0</c:v>
                </c:pt>
                <c:pt idx="119">
                  <c:v>-1.0868</c:v>
                </c:pt>
                <c:pt idx="120">
                  <c:v>-3.1101999999999999</c:v>
                </c:pt>
                <c:pt idx="121">
                  <c:v>0.15609999999999999</c:v>
                </c:pt>
                <c:pt idx="122">
                  <c:v>8.9182999999999986</c:v>
                </c:pt>
                <c:pt idx="123">
                  <c:v>-3.1300000000000001E-2</c:v>
                </c:pt>
                <c:pt idx="124">
                  <c:v>-3.9999000000000002</c:v>
                </c:pt>
                <c:pt idx="125">
                  <c:v>-0.79</c:v>
                </c:pt>
                <c:pt idx="126">
                  <c:v>-57.402999999999999</c:v>
                </c:pt>
                <c:pt idx="127">
                  <c:v>-0.36070000000000002</c:v>
                </c:pt>
                <c:pt idx="128">
                  <c:v>0</c:v>
                </c:pt>
                <c:pt idx="129">
                  <c:v>-1.7500000000000002E-2</c:v>
                </c:pt>
                <c:pt idx="130">
                  <c:v>-4.3158999999999992</c:v>
                </c:pt>
                <c:pt idx="131">
                  <c:v>16.826999999999998</c:v>
                </c:pt>
                <c:pt idx="132">
                  <c:v>0</c:v>
                </c:pt>
                <c:pt idx="133">
                  <c:v>-0.24339999999999984</c:v>
                </c:pt>
                <c:pt idx="134">
                  <c:v>-17.804399999999994</c:v>
                </c:pt>
                <c:pt idx="135">
                  <c:v>5.2523</c:v>
                </c:pt>
                <c:pt idx="136">
                  <c:v>-51.720600000000005</c:v>
                </c:pt>
                <c:pt idx="137">
                  <c:v>13.098700000000001</c:v>
                </c:pt>
                <c:pt idx="138">
                  <c:v>-70.075199999999995</c:v>
                </c:pt>
                <c:pt idx="139">
                  <c:v>-52.698100000000004</c:v>
                </c:pt>
              </c:numCache>
            </c:numRef>
          </c:val>
          <c:smooth val="0"/>
          <c:extLst>
            <c:ext xmlns:c16="http://schemas.microsoft.com/office/drawing/2014/chart" uri="{C3380CC4-5D6E-409C-BE32-E72D297353CC}">
              <c16:uniqueId val="{00000000-638F-486E-8E14-CE2B8A76E50D}"/>
            </c:ext>
          </c:extLst>
        </c:ser>
        <c:dLbls>
          <c:showLegendKey val="0"/>
          <c:showVal val="0"/>
          <c:showCatName val="0"/>
          <c:showSerName val="0"/>
          <c:showPercent val="0"/>
          <c:showBubbleSize val="0"/>
        </c:dLbls>
        <c:marker val="1"/>
        <c:smooth val="0"/>
        <c:axId val="2068056639"/>
        <c:axId val="2068050879"/>
      </c:lineChart>
      <c:catAx>
        <c:axId val="206805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8050879"/>
        <c:crosses val="autoZero"/>
        <c:auto val="1"/>
        <c:lblAlgn val="ctr"/>
        <c:lblOffset val="100"/>
        <c:noMultiLvlLbl val="0"/>
      </c:catAx>
      <c:valAx>
        <c:axId val="2068050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805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[BabyCareAnalysis.xlsx]Top manufacturer 2023 &amp; 2022!PivotTable1</c:name>
    <c:fmtId val="29"/>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Top manufacturer 2023 &amp; 2022</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A5002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manufacturer 2023 &amp; 2022'!$B$3</c:f>
              <c:strCache>
                <c:ptCount val="1"/>
                <c:pt idx="0">
                  <c:v>Sum of 2023 Value</c:v>
                </c:pt>
              </c:strCache>
            </c:strRef>
          </c:tx>
          <c:spPr>
            <a:solidFill>
              <a:srgbClr val="A5002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manufacturer 2023 &amp; 2022'!$A$4:$A$9</c:f>
              <c:strCache>
                <c:ptCount val="5"/>
                <c:pt idx="0">
                  <c:v> VigaLife</c:v>
                </c:pt>
                <c:pt idx="1">
                  <c:v> Proctor &amp; Wager</c:v>
                </c:pt>
                <c:pt idx="2">
                  <c:v> Fulya Beauty</c:v>
                </c:pt>
                <c:pt idx="3">
                  <c:v> SepaTextiles</c:v>
                </c:pt>
                <c:pt idx="4">
                  <c:v> Intelligent Initiative</c:v>
                </c:pt>
              </c:strCache>
            </c:strRef>
          </c:cat>
          <c:val>
            <c:numRef>
              <c:f>'Top manufacturer 2023 &amp; 2022'!$B$4:$B$9</c:f>
              <c:numCache>
                <c:formatCode>#,##0.00_);\(#,##0.00\)</c:formatCode>
                <c:ptCount val="5"/>
                <c:pt idx="0">
                  <c:v>3428.0433000000003</c:v>
                </c:pt>
                <c:pt idx="1">
                  <c:v>2101.7048</c:v>
                </c:pt>
                <c:pt idx="2">
                  <c:v>822.98120000000029</c:v>
                </c:pt>
                <c:pt idx="3">
                  <c:v>529.41079999999999</c:v>
                </c:pt>
                <c:pt idx="4">
                  <c:v>507.30459999999999</c:v>
                </c:pt>
              </c:numCache>
            </c:numRef>
          </c:val>
          <c:extLst>
            <c:ext xmlns:c16="http://schemas.microsoft.com/office/drawing/2014/chart" uri="{C3380CC4-5D6E-409C-BE32-E72D297353CC}">
              <c16:uniqueId val="{00000000-9D16-4FBE-AC43-8D2691B1DE67}"/>
            </c:ext>
          </c:extLst>
        </c:ser>
        <c:ser>
          <c:idx val="1"/>
          <c:order val="1"/>
          <c:tx>
            <c:strRef>
              <c:f>'Top manufacturer 2023 &amp; 2022'!$C$3</c:f>
              <c:strCache>
                <c:ptCount val="1"/>
                <c:pt idx="0">
                  <c:v>Sum of 2022 Value</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manufacturer 2023 &amp; 2022'!$A$4:$A$9</c:f>
              <c:strCache>
                <c:ptCount val="5"/>
                <c:pt idx="0">
                  <c:v> VigaLife</c:v>
                </c:pt>
                <c:pt idx="1">
                  <c:v> Proctor &amp; Wager</c:v>
                </c:pt>
                <c:pt idx="2">
                  <c:v> Fulya Beauty</c:v>
                </c:pt>
                <c:pt idx="3">
                  <c:v> SepaTextiles</c:v>
                </c:pt>
                <c:pt idx="4">
                  <c:v> Intelligent Initiative</c:v>
                </c:pt>
              </c:strCache>
            </c:strRef>
          </c:cat>
          <c:val>
            <c:numRef>
              <c:f>'Top manufacturer 2023 &amp; 2022'!$C$4:$C$9</c:f>
              <c:numCache>
                <c:formatCode>#,##0.00_);\(#,##0.00\)</c:formatCode>
                <c:ptCount val="5"/>
                <c:pt idx="0">
                  <c:v>3341.5013000000004</c:v>
                </c:pt>
                <c:pt idx="1">
                  <c:v>1818.5406000000007</c:v>
                </c:pt>
                <c:pt idx="2">
                  <c:v>1012.9229999999999</c:v>
                </c:pt>
                <c:pt idx="3">
                  <c:v>632.96199999999999</c:v>
                </c:pt>
                <c:pt idx="4">
                  <c:v>511.78090000000003</c:v>
                </c:pt>
              </c:numCache>
            </c:numRef>
          </c:val>
          <c:extLst>
            <c:ext xmlns:c16="http://schemas.microsoft.com/office/drawing/2014/chart" uri="{C3380CC4-5D6E-409C-BE32-E72D297353CC}">
              <c16:uniqueId val="{00000001-9D16-4FBE-AC43-8D2691B1DE67}"/>
            </c:ext>
          </c:extLst>
        </c:ser>
        <c:dLbls>
          <c:dLblPos val="outEnd"/>
          <c:showLegendKey val="0"/>
          <c:showVal val="1"/>
          <c:showCatName val="0"/>
          <c:showSerName val="0"/>
          <c:showPercent val="0"/>
          <c:showBubbleSize val="0"/>
        </c:dLbls>
        <c:gapWidth val="100"/>
        <c:overlap val="-24"/>
        <c:axId val="299495727"/>
        <c:axId val="299512527"/>
      </c:barChart>
      <c:catAx>
        <c:axId val="29949572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9512527"/>
        <c:crosses val="autoZero"/>
        <c:auto val="1"/>
        <c:lblAlgn val="ctr"/>
        <c:lblOffset val="100"/>
        <c:noMultiLvlLbl val="0"/>
      </c:catAx>
      <c:valAx>
        <c:axId val="299512527"/>
        <c:scaling>
          <c:orientation val="minMax"/>
        </c:scaling>
        <c:delete val="0"/>
        <c:axPos val="l"/>
        <c:numFmt formatCode="#,##0.00_);\(#,##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949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[BabyCareAnalysis.xlsx]Best-performing size!PivotTable2</c:name>
    <c:fmtId val="1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Best-performing size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'Best-performing size'!$B$3</c:f>
              <c:strCache>
                <c:ptCount val="1"/>
                <c:pt idx="0">
                  <c:v>Sum of 2022 Volume</c:v>
                </c:pt>
              </c:strCache>
            </c:strRef>
          </c:tx>
          <c:spPr>
            <a:solidFill>
              <a:schemeClr val="tx1">
                <a:lumMod val="95000"/>
                <a:lumOff val="5000"/>
              </a:schemeClr>
            </a:solidFill>
            <a:ln>
              <a:noFill/>
            </a:ln>
            <a:effectLst>
              <a:outerShdw blurRad="57150" dist="19050" dir="5400000" algn="ctr" rotWithShape="0">
                <a:srgbClr val="000000">
                  <a:alpha val="63000"/>
                </a:srgbClr>
              </a:outerShdw>
            </a:effectLst>
          </c:spPr>
          <c:invertIfNegative val="0"/>
          <c:cat>
            <c:strRef>
              <c:f>'Best-performing size'!$A$4:$A$14</c:f>
              <c:strCache>
                <c:ptCount val="10"/>
                <c:pt idx="0">
                  <c:v>72</c:v>
                </c:pt>
                <c:pt idx="1">
                  <c:v>120</c:v>
                </c:pt>
                <c:pt idx="2">
                  <c:v>80</c:v>
                </c:pt>
                <c:pt idx="3">
                  <c:v>64</c:v>
                </c:pt>
                <c:pt idx="4">
                  <c:v>100</c:v>
                </c:pt>
                <c:pt idx="5">
                  <c:v>52</c:v>
                </c:pt>
                <c:pt idx="6">
                  <c:v>60</c:v>
                </c:pt>
                <c:pt idx="7">
                  <c:v>140</c:v>
                </c:pt>
                <c:pt idx="8">
                  <c:v>63</c:v>
                </c:pt>
                <c:pt idx="9">
                  <c:v>144</c:v>
                </c:pt>
              </c:strCache>
            </c:strRef>
          </c:cat>
          <c:val>
            <c:numRef>
              <c:f>'Best-performing size'!$B$4:$B$14</c:f>
              <c:numCache>
                <c:formatCode>0.00</c:formatCode>
                <c:ptCount val="10"/>
                <c:pt idx="0">
                  <c:v>153775.27919999999</c:v>
                </c:pt>
                <c:pt idx="1">
                  <c:v>140218.00759999998</c:v>
                </c:pt>
                <c:pt idx="2">
                  <c:v>31573.781599999995</c:v>
                </c:pt>
                <c:pt idx="3">
                  <c:v>30188.789799999999</c:v>
                </c:pt>
                <c:pt idx="4">
                  <c:v>28390.618899999998</c:v>
                </c:pt>
                <c:pt idx="5">
                  <c:v>26840.936600000001</c:v>
                </c:pt>
                <c:pt idx="6">
                  <c:v>14180.574499999999</c:v>
                </c:pt>
                <c:pt idx="7">
                  <c:v>7337.7478999999994</c:v>
                </c:pt>
                <c:pt idx="8">
                  <c:v>6841.3387000000002</c:v>
                </c:pt>
                <c:pt idx="9">
                  <c:v>5660.9096</c:v>
                </c:pt>
              </c:numCache>
            </c:numRef>
          </c:val>
          <c:extLst>
            <c:ext xmlns:c16="http://schemas.microsoft.com/office/drawing/2014/chart" uri="{C3380CC4-5D6E-409C-BE32-E72D297353CC}">
              <c16:uniqueId val="{00000000-0941-469D-8520-898492C9C96D}"/>
            </c:ext>
          </c:extLst>
        </c:ser>
        <c:ser>
          <c:idx val="1"/>
          <c:order val="1"/>
          <c:tx>
            <c:strRef>
              <c:f>'Best-performing size'!$C$3</c:f>
              <c:strCache>
                <c:ptCount val="1"/>
                <c:pt idx="0">
                  <c:v>Sum of 2023 Volume</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'Best-performing size'!$A$4:$A$14</c:f>
              <c:strCache>
                <c:ptCount val="10"/>
                <c:pt idx="0">
                  <c:v>72</c:v>
                </c:pt>
                <c:pt idx="1">
                  <c:v>120</c:v>
                </c:pt>
                <c:pt idx="2">
                  <c:v>80</c:v>
                </c:pt>
                <c:pt idx="3">
                  <c:v>64</c:v>
                </c:pt>
                <c:pt idx="4">
                  <c:v>100</c:v>
                </c:pt>
                <c:pt idx="5">
                  <c:v>52</c:v>
                </c:pt>
                <c:pt idx="6">
                  <c:v>60</c:v>
                </c:pt>
                <c:pt idx="7">
                  <c:v>140</c:v>
                </c:pt>
                <c:pt idx="8">
                  <c:v>63</c:v>
                </c:pt>
                <c:pt idx="9">
                  <c:v>144</c:v>
                </c:pt>
              </c:strCache>
            </c:strRef>
          </c:cat>
          <c:val>
            <c:numRef>
              <c:f>'Best-performing size'!$C$4:$C$14</c:f>
              <c:numCache>
                <c:formatCode>0.00</c:formatCode>
                <c:ptCount val="10"/>
                <c:pt idx="0">
                  <c:v>144373.22090000004</c:v>
                </c:pt>
                <c:pt idx="1">
                  <c:v>152424.14560000005</c:v>
                </c:pt>
                <c:pt idx="2">
                  <c:v>25763.2327</c:v>
                </c:pt>
                <c:pt idx="3">
                  <c:v>24709.567799999997</c:v>
                </c:pt>
                <c:pt idx="4">
                  <c:v>28845.303199999995</c:v>
                </c:pt>
                <c:pt idx="5">
                  <c:v>34758.950799999999</c:v>
                </c:pt>
                <c:pt idx="6">
                  <c:v>16485.746600000002</c:v>
                </c:pt>
                <c:pt idx="7">
                  <c:v>8103.3085000000001</c:v>
                </c:pt>
                <c:pt idx="8">
                  <c:v>6908.5156999999999</c:v>
                </c:pt>
                <c:pt idx="9">
                  <c:v>6676.0725000000002</c:v>
                </c:pt>
              </c:numCache>
            </c:numRef>
          </c:val>
          <c:extLst>
            <c:ext xmlns:c16="http://schemas.microsoft.com/office/drawing/2014/chart" uri="{C3380CC4-5D6E-409C-BE32-E72D297353CC}">
              <c16:uniqueId val="{00000001-0941-469D-8520-898492C9C96D}"/>
            </c:ext>
          </c:extLst>
        </c:ser>
        <c:ser>
          <c:idx val="2"/>
          <c:order val="2"/>
          <c:tx>
            <c:strRef>
              <c:f>'Best-performing size'!$D$3</c:f>
              <c:strCache>
                <c:ptCount val="1"/>
                <c:pt idx="0">
                  <c:v>Sum of YTD 24 Volume</c:v>
                </c:pt>
              </c:strCache>
            </c:strRef>
          </c:tx>
          <c:spPr>
            <a:solidFill>
              <a:schemeClr val="bg1"/>
            </a:solidFill>
            <a:ln>
              <a:noFill/>
            </a:ln>
            <a:effectLst>
              <a:outerShdw blurRad="57150" dist="19050" dir="5400000" algn="ctr" rotWithShape="0">
                <a:srgbClr val="000000">
                  <a:alpha val="63000"/>
                </a:srgbClr>
              </a:outerShdw>
            </a:effectLst>
          </c:spPr>
          <c:invertIfNegative val="0"/>
          <c:cat>
            <c:strRef>
              <c:f>'Best-performing size'!$A$4:$A$14</c:f>
              <c:strCache>
                <c:ptCount val="10"/>
                <c:pt idx="0">
                  <c:v>72</c:v>
                </c:pt>
                <c:pt idx="1">
                  <c:v>120</c:v>
                </c:pt>
                <c:pt idx="2">
                  <c:v>80</c:v>
                </c:pt>
                <c:pt idx="3">
                  <c:v>64</c:v>
                </c:pt>
                <c:pt idx="4">
                  <c:v>100</c:v>
                </c:pt>
                <c:pt idx="5">
                  <c:v>52</c:v>
                </c:pt>
                <c:pt idx="6">
                  <c:v>60</c:v>
                </c:pt>
                <c:pt idx="7">
                  <c:v>140</c:v>
                </c:pt>
                <c:pt idx="8">
                  <c:v>63</c:v>
                </c:pt>
                <c:pt idx="9">
                  <c:v>144</c:v>
                </c:pt>
              </c:strCache>
            </c:strRef>
          </c:cat>
          <c:val>
            <c:numRef>
              <c:f>'Best-performing size'!$D$4:$D$14</c:f>
              <c:numCache>
                <c:formatCode>0.00</c:formatCode>
                <c:ptCount val="10"/>
                <c:pt idx="0">
                  <c:v>73445.01880000002</c:v>
                </c:pt>
                <c:pt idx="1">
                  <c:v>75389.420499999993</c:v>
                </c:pt>
                <c:pt idx="2">
                  <c:v>10561.467099999998</c:v>
                </c:pt>
                <c:pt idx="3">
                  <c:v>11128.7448</c:v>
                </c:pt>
                <c:pt idx="4">
                  <c:v>13184.917699999998</c:v>
                </c:pt>
                <c:pt idx="5">
                  <c:v>21933.4833</c:v>
                </c:pt>
                <c:pt idx="6">
                  <c:v>7455.6704</c:v>
                </c:pt>
                <c:pt idx="7">
                  <c:v>7048.5825999999997</c:v>
                </c:pt>
                <c:pt idx="8">
                  <c:v>2268.0683000000004</c:v>
                </c:pt>
                <c:pt idx="9">
                  <c:v>2270.1652000000004</c:v>
                </c:pt>
              </c:numCache>
            </c:numRef>
          </c:val>
          <c:extLst>
            <c:ext xmlns:c16="http://schemas.microsoft.com/office/drawing/2014/chart" uri="{C3380CC4-5D6E-409C-BE32-E72D297353CC}">
              <c16:uniqueId val="{00000002-0941-469D-8520-898492C9C96D}"/>
            </c:ext>
          </c:extLst>
        </c:ser>
        <c:dLbls>
          <c:showLegendKey val="0"/>
          <c:showVal val="0"/>
          <c:showCatName val="0"/>
          <c:showSerName val="0"/>
          <c:showPercent val="0"/>
          <c:showBubbleSize val="0"/>
        </c:dLbls>
        <c:gapWidth val="150"/>
        <c:overlap val="100"/>
        <c:axId val="299522127"/>
        <c:axId val="299519727"/>
      </c:barChart>
      <c:catAx>
        <c:axId val="29952212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99519727"/>
        <c:crosses val="autoZero"/>
        <c:auto val="1"/>
        <c:lblAlgn val="ctr"/>
        <c:lblOffset val="100"/>
        <c:noMultiLvlLbl val="0"/>
      </c:catAx>
      <c:valAx>
        <c:axId val="299519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9952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[BabyCareAnalysis.xlsx]Top 10-2022 to 2023 volume drop!PivotTable1</c:name>
    <c:fmtId val="29"/>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10-2022 to 2023 volume drop</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500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10-2022 to 2023 volume drop'!$E$6</c:f>
              <c:strCache>
                <c:ptCount val="1"/>
                <c:pt idx="0">
                  <c:v>Total</c:v>
                </c:pt>
              </c:strCache>
            </c:strRef>
          </c:tx>
          <c:spPr>
            <a:solidFill>
              <a:srgbClr val="A50021"/>
            </a:solidFill>
            <a:ln>
              <a:noFill/>
            </a:ln>
            <a:effectLst/>
          </c:spPr>
          <c:invertIfNegative val="0"/>
          <c:cat>
            <c:strRef>
              <c:f>'Top 10-2022 to 2023 volume drop'!$D$7:$D$17</c:f>
              <c:strCache>
                <c:ptCount val="10"/>
                <c:pt idx="0">
                  <c:v>HAPPY FAMILY BABY PH5.5 W 70 BAG</c:v>
                </c:pt>
                <c:pt idx="1">
                  <c:v>PAMPERS BABY FRESH CLEAN XXL W 80 BAG</c:v>
                </c:pt>
                <c:pt idx="2">
                  <c:v>ELVIM BABY ULTRASENSITIVE LOTION&amp;VITE 72</c:v>
                </c:pt>
                <c:pt idx="3">
                  <c:v>BABY CREMA WATER 99% W 72 BAG</c:v>
                </c:pt>
                <c:pt idx="4">
                  <c:v>MY COMFORT BABY ARGAN ALK.FREE W 120 BAG</c:v>
                </c:pt>
                <c:pt idx="5">
                  <c:v>KIDS BABY WET WIPES W 72 BAG KAPACHE</c:v>
                </c:pt>
                <c:pt idx="6">
                  <c:v>RENKLI BABY LUX PH5.5 W 2X80 BAG</c:v>
                </c:pt>
                <c:pt idx="7">
                  <c:v>FRESH MAKER BABY PH5.5 W 120 BAG JUMBO</c:v>
                </c:pt>
                <c:pt idx="8">
                  <c:v>INCI FRESH VITE&amp;PROVITB5 PH5.5 W 120 BAG</c:v>
                </c:pt>
                <c:pt idx="9">
                  <c:v>BABY CREMA CAMOMIL W 120 BAG KAPAK</c:v>
                </c:pt>
              </c:strCache>
            </c:strRef>
          </c:cat>
          <c:val>
            <c:numRef>
              <c:f>'Top 10-2022 to 2023 volume drop'!$E$7:$E$17</c:f>
              <c:numCache>
                <c:formatCode>General</c:formatCode>
                <c:ptCount val="10"/>
                <c:pt idx="0">
                  <c:v>1769.2567999999999</c:v>
                </c:pt>
                <c:pt idx="1">
                  <c:v>1962.3911000000007</c:v>
                </c:pt>
                <c:pt idx="2">
                  <c:v>2049.6656000000003</c:v>
                </c:pt>
                <c:pt idx="3">
                  <c:v>2382.5905000000002</c:v>
                </c:pt>
                <c:pt idx="4">
                  <c:v>2534.2295999999997</c:v>
                </c:pt>
                <c:pt idx="5">
                  <c:v>4253.6499000000003</c:v>
                </c:pt>
                <c:pt idx="6">
                  <c:v>4878.2541999999994</c:v>
                </c:pt>
                <c:pt idx="7">
                  <c:v>4878.5128000000022</c:v>
                </c:pt>
                <c:pt idx="8">
                  <c:v>6404.9830000000002</c:v>
                </c:pt>
                <c:pt idx="9">
                  <c:v>6903.5393000000004</c:v>
                </c:pt>
              </c:numCache>
            </c:numRef>
          </c:val>
          <c:extLst>
            <c:ext xmlns:c16="http://schemas.microsoft.com/office/drawing/2014/chart" uri="{C3380CC4-5D6E-409C-BE32-E72D297353CC}">
              <c16:uniqueId val="{00000000-F4EE-42F6-A399-17E27153EE80}"/>
            </c:ext>
          </c:extLst>
        </c:ser>
        <c:dLbls>
          <c:showLegendKey val="0"/>
          <c:showVal val="0"/>
          <c:showCatName val="0"/>
          <c:showSerName val="0"/>
          <c:showPercent val="0"/>
          <c:showBubbleSize val="0"/>
        </c:dLbls>
        <c:gapWidth val="150"/>
        <c:overlap val="100"/>
        <c:axId val="131175600"/>
        <c:axId val="131176560"/>
      </c:barChart>
      <c:catAx>
        <c:axId val="13117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31176560"/>
        <c:crosses val="autoZero"/>
        <c:auto val="1"/>
        <c:lblAlgn val="ctr"/>
        <c:lblOffset val="100"/>
        <c:noMultiLvlLbl val="0"/>
      </c:catAx>
      <c:valAx>
        <c:axId val="131176560"/>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3117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[BabyCareAnalysis.xlsx]Sales by package type &amp; product!PivotTable2</c:name>
    <c:fmtId val="16"/>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i="0" u="none" strike="noStrike" baseline="0">
                <a:solidFill>
                  <a:schemeClr val="tx1"/>
                </a:solidFill>
              </a:rPr>
              <a:t>Sales by package type &amp; product attribute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tx1">
              <a:lumMod val="95000"/>
              <a:lumOff val="5000"/>
            </a:schemeClr>
          </a:solidFill>
          <a:ln w="19050">
            <a:solidFill>
              <a:schemeClr val="lt1"/>
            </a:solidFill>
          </a:ln>
          <a:effectLst/>
        </c:spPr>
      </c:pivotFmt>
      <c:pivotFmt>
        <c:idx val="32"/>
        <c:spPr>
          <a:solidFill>
            <a:srgbClr val="FFC000"/>
          </a:solidFill>
          <a:ln w="19050">
            <a:solidFill>
              <a:schemeClr val="lt1"/>
            </a:solidFill>
          </a:ln>
          <a:effectLst/>
        </c:spPr>
      </c:pivotFmt>
      <c:pivotFmt>
        <c:idx val="33"/>
        <c:spPr>
          <a:solidFill>
            <a:srgbClr val="FF5050"/>
          </a:solidFill>
          <a:ln w="19050">
            <a:solidFill>
              <a:schemeClr val="lt1"/>
            </a:solidFill>
          </a:ln>
          <a:effectLst/>
        </c:spPr>
      </c:pivotFmt>
      <c:pivotFmt>
        <c:idx val="34"/>
        <c:spPr>
          <a:solidFill>
            <a:schemeClr val="accent2">
              <a:lumMod val="50000"/>
            </a:schemeClr>
          </a:solidFill>
          <a:ln w="19050">
            <a:solidFill>
              <a:schemeClr val="lt1"/>
            </a:solidFill>
          </a:ln>
          <a:effectLst/>
        </c:spPr>
      </c:pivotFmt>
      <c:pivotFmt>
        <c:idx val="35"/>
        <c:spPr>
          <a:solidFill>
            <a:srgbClr val="FF9966"/>
          </a:solidFill>
          <a:ln w="19050">
            <a:solidFill>
              <a:schemeClr val="lt1"/>
            </a:solidFill>
          </a:ln>
          <a:effectLst/>
        </c:spPr>
      </c:pivotFmt>
      <c:pivotFmt>
        <c:idx val="36"/>
        <c:spPr>
          <a:solidFill>
            <a:srgbClr val="CC0000"/>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doughnutChart>
        <c:varyColors val="1"/>
        <c:ser>
          <c:idx val="0"/>
          <c:order val="0"/>
          <c:tx>
            <c:strRef>
              <c:f>'Sales by package type &amp; product'!$C$4</c:f>
              <c:strCache>
                <c:ptCount val="1"/>
                <c:pt idx="0">
                  <c:v>Total</c:v>
                </c:pt>
              </c:strCache>
            </c:strRef>
          </c:tx>
          <c:dPt>
            <c:idx val="0"/>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1-E698-422C-9E89-586C3061436A}"/>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E698-422C-9E89-586C3061436A}"/>
              </c:ext>
            </c:extLst>
          </c:dPt>
          <c:dPt>
            <c:idx val="2"/>
            <c:bubble3D val="0"/>
            <c:spPr>
              <a:solidFill>
                <a:srgbClr val="FF5050"/>
              </a:solidFill>
              <a:ln w="19050">
                <a:solidFill>
                  <a:schemeClr val="lt1"/>
                </a:solidFill>
              </a:ln>
              <a:effectLst/>
            </c:spPr>
            <c:extLst>
              <c:ext xmlns:c16="http://schemas.microsoft.com/office/drawing/2014/chart" uri="{C3380CC4-5D6E-409C-BE32-E72D297353CC}">
                <c16:uniqueId val="{00000005-E698-422C-9E89-586C3061436A}"/>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E698-422C-9E89-586C3061436A}"/>
              </c:ext>
            </c:extLst>
          </c:dPt>
          <c:dPt>
            <c:idx val="4"/>
            <c:bubble3D val="0"/>
            <c:spPr>
              <a:solidFill>
                <a:srgbClr val="FF9966"/>
              </a:solidFill>
              <a:ln w="19050">
                <a:solidFill>
                  <a:schemeClr val="lt1"/>
                </a:solidFill>
              </a:ln>
              <a:effectLst/>
            </c:spPr>
            <c:extLst>
              <c:ext xmlns:c16="http://schemas.microsoft.com/office/drawing/2014/chart" uri="{C3380CC4-5D6E-409C-BE32-E72D297353CC}">
                <c16:uniqueId val="{00000009-E698-422C-9E89-586C3061436A}"/>
              </c:ext>
            </c:extLst>
          </c:dPt>
          <c:dPt>
            <c:idx val="5"/>
            <c:bubble3D val="0"/>
            <c:spPr>
              <a:solidFill>
                <a:srgbClr val="CC0000"/>
              </a:solidFill>
              <a:ln w="19050">
                <a:solidFill>
                  <a:schemeClr val="lt1"/>
                </a:solidFill>
              </a:ln>
              <a:effectLst/>
            </c:spPr>
            <c:extLst>
              <c:ext xmlns:c16="http://schemas.microsoft.com/office/drawing/2014/chart" uri="{C3380CC4-5D6E-409C-BE32-E72D297353CC}">
                <c16:uniqueId val="{0000000B-E698-422C-9E89-586C3061436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698-422C-9E89-586C3061436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698-422C-9E89-586C3061436A}"/>
              </c:ext>
            </c:extLst>
          </c:dPt>
          <c:cat>
            <c:multiLvlStrRef>
              <c:f>'Sales by package type &amp; product'!$B$5:$B$15</c:f>
              <c:multiLvlStrCache>
                <c:ptCount val="8"/>
                <c:lvl>
                  <c:pt idx="0">
                    <c:v>ALCOHOL FREE</c:v>
                  </c:pt>
                  <c:pt idx="1">
                    <c:v>ALCOHOL FREE &amp; HYPOALLERGENIC</c:v>
                  </c:pt>
                  <c:pt idx="2">
                    <c:v>HYPOALLERGENIC</c:v>
                  </c:pt>
                  <c:pt idx="3">
                    <c:v>PH BALANCED</c:v>
                  </c:pt>
                  <c:pt idx="4">
                    <c:v>SENSITIVE</c:v>
                  </c:pt>
                  <c:pt idx="5">
                    <c:v>WITHOUT EXTRA PROTECTCARE INDICATION</c:v>
                  </c:pt>
                  <c:pt idx="6">
                    <c:v>SENSITIVE</c:v>
                  </c:pt>
                  <c:pt idx="7">
                    <c:v>WITHOUT EXTRA PROTECTCARE INDICATION</c:v>
                  </c:pt>
                </c:lvl>
                <c:lvl>
                  <c:pt idx="0">
                    <c:v>BAGS</c:v>
                  </c:pt>
                  <c:pt idx="6">
                    <c:v>BOX</c:v>
                  </c:pt>
                </c:lvl>
              </c:multiLvlStrCache>
            </c:multiLvlStrRef>
          </c:cat>
          <c:val>
            <c:numRef>
              <c:f>'Sales by package type &amp; product'!$C$5:$C$15</c:f>
              <c:numCache>
                <c:formatCode>General</c:formatCode>
                <c:ptCount val="8"/>
                <c:pt idx="0">
                  <c:v>9392</c:v>
                </c:pt>
                <c:pt idx="1">
                  <c:v>546</c:v>
                </c:pt>
                <c:pt idx="2">
                  <c:v>822</c:v>
                </c:pt>
                <c:pt idx="3">
                  <c:v>12902</c:v>
                </c:pt>
                <c:pt idx="4">
                  <c:v>5120</c:v>
                </c:pt>
                <c:pt idx="5">
                  <c:v>6782</c:v>
                </c:pt>
                <c:pt idx="6">
                  <c:v>56</c:v>
                </c:pt>
                <c:pt idx="7">
                  <c:v>70</c:v>
                </c:pt>
              </c:numCache>
            </c:numRef>
          </c:val>
          <c:extLst>
            <c:ext xmlns:c16="http://schemas.microsoft.com/office/drawing/2014/chart" uri="{C3380CC4-5D6E-409C-BE32-E72D297353CC}">
              <c16:uniqueId val="{00000010-E698-422C-9E89-586C306143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[BabyCareAnalysis.xlsx]Volume drop bwt 2023 to 2025!PivotTable3</c:name>
    <c:fmtId val="9"/>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a:solidFill>
                  <a:schemeClr val="tx1"/>
                </a:solidFill>
              </a:rPr>
              <a:t>Volume drop bwt 2023 to 2025</a:t>
            </a:r>
          </a:p>
        </c:rich>
      </c:tx>
      <c:layout>
        <c:manualLayout>
          <c:xMode val="edge"/>
          <c:yMode val="edge"/>
          <c:x val="0.27678743961352659"/>
          <c:y val="0.1172329584313557"/>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'Volume drop bwt 2023 to 2025'!$B$3</c:f>
              <c:strCache>
                <c:ptCount val="1"/>
                <c:pt idx="0">
                  <c:v>Total</c:v>
                </c:pt>
              </c:strCache>
            </c:strRef>
          </c:tx>
          <c:spPr>
            <a:ln w="28575" cap="rnd">
              <a:solidFill>
                <a:schemeClr val="accent2"/>
              </a:solidFill>
              <a:round/>
            </a:ln>
            <a:effectLst/>
          </c:spPr>
          <c:marker>
            <c:symbol val="none"/>
          </c:marker>
          <c:cat>
            <c:strRef>
              <c:f>'Volume drop bwt 2023 to 2025'!$A$4:$A$145</c:f>
              <c:strCache>
                <c:ptCount val="141"/>
                <c:pt idx="0">
                  <c:v>ALVESTA </c:v>
                </c:pt>
                <c:pt idx="1">
                  <c:v>AQUELLA </c:v>
                </c:pt>
                <c:pt idx="2">
                  <c:v>ASALI </c:v>
                </c:pt>
                <c:pt idx="3">
                  <c:v>AURA </c:v>
                </c:pt>
                <c:pt idx="4">
                  <c:v>BABY CARE </c:v>
                </c:pt>
                <c:pt idx="5">
                  <c:v>BABY CREMA </c:v>
                </c:pt>
                <c:pt idx="6">
                  <c:v>BABY LINO</c:v>
                </c:pt>
                <c:pt idx="7">
                  <c:v>BABY WISH </c:v>
                </c:pt>
                <c:pt idx="8">
                  <c:v>BABY2000</c:v>
                </c:pt>
                <c:pt idx="9">
                  <c:v>BABYCARE</c:v>
                </c:pt>
                <c:pt idx="10">
                  <c:v>BAMBO NATURE</c:v>
                </c:pt>
                <c:pt idx="11">
                  <c:v>BEBECAN </c:v>
                </c:pt>
                <c:pt idx="12">
                  <c:v>BEBIKO </c:v>
                </c:pt>
                <c:pt idx="13">
                  <c:v>BELUX </c:v>
                </c:pt>
                <c:pt idx="14">
                  <c:v>BERFINY </c:v>
                </c:pt>
                <c:pt idx="15">
                  <c:v>BETTY </c:v>
                </c:pt>
                <c:pt idx="16">
                  <c:v>BIG SOFT </c:v>
                </c:pt>
                <c:pt idx="17">
                  <c:v>BIMBO &amp; BIMBA </c:v>
                </c:pt>
                <c:pt idx="18">
                  <c:v>BIONIKE </c:v>
                </c:pt>
                <c:pt idx="19">
                  <c:v>BIVY</c:v>
                </c:pt>
                <c:pt idx="20">
                  <c:v>CAN BEBE </c:v>
                </c:pt>
                <c:pt idx="21">
                  <c:v>CHICCO </c:v>
                </c:pt>
                <c:pt idx="22">
                  <c:v>CLEANIC </c:v>
                </c:pt>
                <c:pt idx="23">
                  <c:v>CLEAR SIGHT</c:v>
                </c:pt>
                <c:pt idx="24">
                  <c:v>CONFY </c:v>
                </c:pt>
                <c:pt idx="25">
                  <c:v>COSMI</c:v>
                </c:pt>
                <c:pt idx="26">
                  <c:v>COTTON BABY </c:v>
                </c:pt>
                <c:pt idx="27">
                  <c:v>COTTON SOFT </c:v>
                </c:pt>
                <c:pt idx="28">
                  <c:v>DAISY </c:v>
                </c:pt>
                <c:pt idx="29">
                  <c:v>DOCTOR WIPES</c:v>
                </c:pt>
                <c:pt idx="30">
                  <c:v>DOVE </c:v>
                </c:pt>
                <c:pt idx="31">
                  <c:v>ELAN </c:v>
                </c:pt>
                <c:pt idx="32">
                  <c:v>ELVIM </c:v>
                </c:pt>
                <c:pt idx="33">
                  <c:v>EVENT BABY</c:v>
                </c:pt>
                <c:pt idx="34">
                  <c:v>EVY BABY </c:v>
                </c:pt>
                <c:pt idx="35">
                  <c:v>FARMACOTONE </c:v>
                </c:pt>
                <c:pt idx="36">
                  <c:v>FEMOLE </c:v>
                </c:pt>
                <c:pt idx="37">
                  <c:v>FLAMINGO </c:v>
                </c:pt>
                <c:pt idx="38">
                  <c:v>FRESH BABY </c:v>
                </c:pt>
                <c:pt idx="39">
                  <c:v>FRESH MAKER</c:v>
                </c:pt>
                <c:pt idx="40">
                  <c:v>FRESH RUNY </c:v>
                </c:pt>
                <c:pt idx="41">
                  <c:v>FRESH'N SOFT</c:v>
                </c:pt>
                <c:pt idx="42">
                  <c:v>GIAN </c:v>
                </c:pt>
                <c:pt idx="43">
                  <c:v>GOLDEN </c:v>
                </c:pt>
                <c:pt idx="44">
                  <c:v>HAPPY ALOE VERA</c:v>
                </c:pt>
                <c:pt idx="45">
                  <c:v>HAPPY FAMILY</c:v>
                </c:pt>
                <c:pt idx="46">
                  <c:v>HAPPY FRESH </c:v>
                </c:pt>
                <c:pt idx="47">
                  <c:v>HIMALAYA </c:v>
                </c:pt>
                <c:pt idx="48">
                  <c:v>HIPP BABYSANFT</c:v>
                </c:pt>
                <c:pt idx="49">
                  <c:v>HOPS </c:v>
                </c:pt>
                <c:pt idx="50">
                  <c:v>HUGGIES </c:v>
                </c:pt>
                <c:pt idx="51">
                  <c:v>HUGGLO </c:v>
                </c:pt>
                <c:pt idx="52">
                  <c:v>HUGO BABY </c:v>
                </c:pt>
                <c:pt idx="53">
                  <c:v>IASSMIN </c:v>
                </c:pt>
                <c:pt idx="54">
                  <c:v>INCI FRESH</c:v>
                </c:pt>
                <c:pt idx="55">
                  <c:v>JOHNSONS </c:v>
                </c:pt>
                <c:pt idx="56">
                  <c:v>JUNIOR &amp; TOMMY </c:v>
                </c:pt>
                <c:pt idx="57">
                  <c:v>KANZ</c:v>
                </c:pt>
                <c:pt idx="58">
                  <c:v>KIDS BABY</c:v>
                </c:pt>
                <c:pt idx="59">
                  <c:v>KLORANE </c:v>
                </c:pt>
                <c:pt idx="60">
                  <c:v>KOMILI </c:v>
                </c:pt>
                <c:pt idx="61">
                  <c:v>KOPRINA </c:v>
                </c:pt>
                <c:pt idx="62">
                  <c:v>KRISPA </c:v>
                </c:pt>
                <c:pt idx="63">
                  <c:v>LANSINOH </c:v>
                </c:pt>
                <c:pt idx="64">
                  <c:v>LARA BABY</c:v>
                </c:pt>
                <c:pt idx="65">
                  <c:v>LIBERO </c:v>
                </c:pt>
                <c:pt idx="66">
                  <c:v>LINDY </c:v>
                </c:pt>
                <c:pt idx="67">
                  <c:v>LIO FRESH </c:v>
                </c:pt>
                <c:pt idx="68">
                  <c:v>LUBA BABY</c:v>
                </c:pt>
                <c:pt idx="69">
                  <c:v>L'UNICO </c:v>
                </c:pt>
                <c:pt idx="70">
                  <c:v>MAIA </c:v>
                </c:pt>
                <c:pt idx="71">
                  <c:v>MAMMI </c:v>
                </c:pt>
                <c:pt idx="72">
                  <c:v>MEDPROFFESIONAL </c:v>
                </c:pt>
                <c:pt idx="73">
                  <c:v>MELANI </c:v>
                </c:pt>
                <c:pt idx="74">
                  <c:v>MIKE LINE </c:v>
                </c:pt>
                <c:pt idx="75">
                  <c:v>MIMI NICE</c:v>
                </c:pt>
                <c:pt idx="76">
                  <c:v>MIMOSA </c:v>
                </c:pt>
                <c:pt idx="77">
                  <c:v>MIS MAK </c:v>
                </c:pt>
                <c:pt idx="78">
                  <c:v>MOLFIX </c:v>
                </c:pt>
                <c:pt idx="79">
                  <c:v>MORS </c:v>
                </c:pt>
                <c:pt idx="80">
                  <c:v>MUSTELA </c:v>
                </c:pt>
                <c:pt idx="81">
                  <c:v>MY COMFORT </c:v>
                </c:pt>
                <c:pt idx="82">
                  <c:v>MY FIX </c:v>
                </c:pt>
                <c:pt idx="83">
                  <c:v>NAPEEZ BY GRACIA </c:v>
                </c:pt>
                <c:pt idx="84">
                  <c:v>NATY </c:v>
                </c:pt>
                <c:pt idx="85">
                  <c:v>NEMDIL </c:v>
                </c:pt>
                <c:pt idx="86">
                  <c:v>NICE BABY </c:v>
                </c:pt>
                <c:pt idx="87">
                  <c:v>NIKI </c:v>
                </c:pt>
                <c:pt idx="88">
                  <c:v>NIVEA BABY</c:v>
                </c:pt>
                <c:pt idx="89">
                  <c:v>OKIDOKI </c:v>
                </c:pt>
                <c:pt idx="90">
                  <c:v>PADDLERS </c:v>
                </c:pt>
                <c:pt idx="91">
                  <c:v>PAMPERS</c:v>
                </c:pt>
                <c:pt idx="92">
                  <c:v>PAPATYA </c:v>
                </c:pt>
                <c:pt idx="93">
                  <c:v>PAPILION </c:v>
                </c:pt>
                <c:pt idx="94">
                  <c:v>PAW PATROL </c:v>
                </c:pt>
                <c:pt idx="95">
                  <c:v>PEPINO </c:v>
                </c:pt>
                <c:pt idx="96">
                  <c:v>PEPPA PIG </c:v>
                </c:pt>
                <c:pt idx="97">
                  <c:v>PERFETTO </c:v>
                </c:pt>
                <c:pt idx="98">
                  <c:v>PETINO </c:v>
                </c:pt>
                <c:pt idx="99">
                  <c:v>PINE </c:v>
                </c:pt>
                <c:pt idx="100">
                  <c:v>PONKY </c:v>
                </c:pt>
                <c:pt idx="101">
                  <c:v>POZZY </c:v>
                </c:pt>
                <c:pt idx="102">
                  <c:v>PREMIUM QUALITY BABY</c:v>
                </c:pt>
                <c:pt idx="103">
                  <c:v>PRIMA </c:v>
                </c:pt>
                <c:pt idx="104">
                  <c:v>PRIME TALKO</c:v>
                </c:pt>
                <c:pt idx="105">
                  <c:v>PROSOFT </c:v>
                </c:pt>
                <c:pt idx="106">
                  <c:v>PUFFY </c:v>
                </c:pt>
                <c:pt idx="107">
                  <c:v>PUFY </c:v>
                </c:pt>
                <c:pt idx="108">
                  <c:v>PUFY BABY</c:v>
                </c:pt>
                <c:pt idx="109">
                  <c:v>PURE BABY</c:v>
                </c:pt>
                <c:pt idx="110">
                  <c:v>RENKLI </c:v>
                </c:pt>
                <c:pt idx="111">
                  <c:v>RENKLY</c:v>
                </c:pt>
                <c:pt idx="112">
                  <c:v>SEBAMED </c:v>
                </c:pt>
                <c:pt idx="113">
                  <c:v>SECKIN </c:v>
                </c:pt>
                <c:pt idx="114">
                  <c:v>SENCE BABY</c:v>
                </c:pt>
                <c:pt idx="115">
                  <c:v>SEPTONA </c:v>
                </c:pt>
                <c:pt idx="116">
                  <c:v>SETABLU </c:v>
                </c:pt>
                <c:pt idx="117">
                  <c:v>SLEEPY BABY</c:v>
                </c:pt>
                <c:pt idx="118">
                  <c:v>SLIPP </c:v>
                </c:pt>
                <c:pt idx="119">
                  <c:v>SMILE </c:v>
                </c:pt>
                <c:pt idx="120">
                  <c:v>SOFT CARE </c:v>
                </c:pt>
                <c:pt idx="121">
                  <c:v>SPEEDY CARE </c:v>
                </c:pt>
                <c:pt idx="122">
                  <c:v>SPRING LINE </c:v>
                </c:pt>
                <c:pt idx="123">
                  <c:v>SWEET  BABY</c:v>
                </c:pt>
                <c:pt idx="124">
                  <c:v>TANGO </c:v>
                </c:pt>
                <c:pt idx="125">
                  <c:v>TEX BABY</c:v>
                </c:pt>
                <c:pt idx="126">
                  <c:v>TITO </c:v>
                </c:pt>
                <c:pt idx="127">
                  <c:v>TOP BLITZ </c:v>
                </c:pt>
                <c:pt idx="128">
                  <c:v>TOVA </c:v>
                </c:pt>
                <c:pt idx="129">
                  <c:v>TROMPY </c:v>
                </c:pt>
                <c:pt idx="130">
                  <c:v>ULTRA COMPACT </c:v>
                </c:pt>
                <c:pt idx="131">
                  <c:v>UNAC </c:v>
                </c:pt>
                <c:pt idx="132">
                  <c:v>UNI </c:v>
                </c:pt>
                <c:pt idx="133">
                  <c:v>URIAGE </c:v>
                </c:pt>
                <c:pt idx="134">
                  <c:v>VIBELLE </c:v>
                </c:pt>
                <c:pt idx="135">
                  <c:v>VOI </c:v>
                </c:pt>
                <c:pt idx="136">
                  <c:v>WATER WIPES </c:v>
                </c:pt>
                <c:pt idx="137">
                  <c:v>WINEX </c:v>
                </c:pt>
                <c:pt idx="138">
                  <c:v>WIPEST </c:v>
                </c:pt>
                <c:pt idx="139">
                  <c:v>YESS BABY </c:v>
                </c:pt>
                <c:pt idx="140">
                  <c:v>(blank)</c:v>
                </c:pt>
              </c:strCache>
            </c:strRef>
          </c:cat>
          <c:val>
            <c:numRef>
              <c:f>'Volume drop bwt 2023 to 2025'!$B$4:$B$145</c:f>
              <c:numCache>
                <c:formatCode>General</c:formatCode>
                <c:ptCount val="141"/>
                <c:pt idx="0">
                  <c:v>714.9375</c:v>
                </c:pt>
                <c:pt idx="1">
                  <c:v>1783.5079000000001</c:v>
                </c:pt>
                <c:pt idx="2">
                  <c:v>1.9971000000000001</c:v>
                </c:pt>
                <c:pt idx="3">
                  <c:v>0</c:v>
                </c:pt>
                <c:pt idx="4">
                  <c:v>6142.2742000000007</c:v>
                </c:pt>
                <c:pt idx="5">
                  <c:v>62637.996599999991</c:v>
                </c:pt>
                <c:pt idx="6">
                  <c:v>146.12040000000002</c:v>
                </c:pt>
                <c:pt idx="7">
                  <c:v>-2828.6375999999996</c:v>
                </c:pt>
                <c:pt idx="8">
                  <c:v>9.4085999999999999</c:v>
                </c:pt>
                <c:pt idx="9">
                  <c:v>-1.9376000000000002</c:v>
                </c:pt>
                <c:pt idx="10">
                  <c:v>0</c:v>
                </c:pt>
                <c:pt idx="11">
                  <c:v>304.28749999999997</c:v>
                </c:pt>
                <c:pt idx="12">
                  <c:v>3.6661000000000001</c:v>
                </c:pt>
                <c:pt idx="13">
                  <c:v>1502.5164999999997</c:v>
                </c:pt>
                <c:pt idx="14">
                  <c:v>24.409400000000002</c:v>
                </c:pt>
                <c:pt idx="15">
                  <c:v>1.9417000000000002</c:v>
                </c:pt>
                <c:pt idx="16">
                  <c:v>1873.3029000000001</c:v>
                </c:pt>
                <c:pt idx="17">
                  <c:v>0</c:v>
                </c:pt>
                <c:pt idx="18">
                  <c:v>0.39080000000000004</c:v>
                </c:pt>
                <c:pt idx="19">
                  <c:v>768.71539999999993</c:v>
                </c:pt>
                <c:pt idx="20">
                  <c:v>16.541699999999999</c:v>
                </c:pt>
                <c:pt idx="21">
                  <c:v>40.203899999999997</c:v>
                </c:pt>
                <c:pt idx="22">
                  <c:v>25.639800000000001</c:v>
                </c:pt>
                <c:pt idx="23">
                  <c:v>-815.37659999999994</c:v>
                </c:pt>
                <c:pt idx="24">
                  <c:v>20.860500000000002</c:v>
                </c:pt>
                <c:pt idx="25">
                  <c:v>2.4085999999999999</c:v>
                </c:pt>
                <c:pt idx="26">
                  <c:v>0</c:v>
                </c:pt>
                <c:pt idx="27">
                  <c:v>8578.0195999999996</c:v>
                </c:pt>
                <c:pt idx="28">
                  <c:v>-110.1146</c:v>
                </c:pt>
                <c:pt idx="29">
                  <c:v>0.64290000000000003</c:v>
                </c:pt>
                <c:pt idx="30">
                  <c:v>152.27090000000001</c:v>
                </c:pt>
                <c:pt idx="31">
                  <c:v>5233.4970000000003</c:v>
                </c:pt>
                <c:pt idx="32">
                  <c:v>1098.9446000000003</c:v>
                </c:pt>
                <c:pt idx="33">
                  <c:v>4357.8273000000008</c:v>
                </c:pt>
                <c:pt idx="34">
                  <c:v>982.26199999999994</c:v>
                </c:pt>
                <c:pt idx="35">
                  <c:v>5.4412000000000003</c:v>
                </c:pt>
                <c:pt idx="36">
                  <c:v>4.8851999999999993</c:v>
                </c:pt>
                <c:pt idx="37">
                  <c:v>47.74350000000004</c:v>
                </c:pt>
                <c:pt idx="38">
                  <c:v>582.28050000000019</c:v>
                </c:pt>
                <c:pt idx="39">
                  <c:v>10517.853799999997</c:v>
                </c:pt>
                <c:pt idx="40">
                  <c:v>323.4391</c:v>
                </c:pt>
                <c:pt idx="41">
                  <c:v>-33.336300000000001</c:v>
                </c:pt>
                <c:pt idx="42">
                  <c:v>364.25839999999994</c:v>
                </c:pt>
                <c:pt idx="43">
                  <c:v>2311.7586999999999</c:v>
                </c:pt>
                <c:pt idx="44">
                  <c:v>-53.169200000000004</c:v>
                </c:pt>
                <c:pt idx="45">
                  <c:v>898.19450000000006</c:v>
                </c:pt>
                <c:pt idx="46">
                  <c:v>56.551799999999986</c:v>
                </c:pt>
                <c:pt idx="47">
                  <c:v>115.5257</c:v>
                </c:pt>
                <c:pt idx="48">
                  <c:v>806.25049999999999</c:v>
                </c:pt>
                <c:pt idx="49">
                  <c:v>-0.30320000000000003</c:v>
                </c:pt>
                <c:pt idx="50">
                  <c:v>1999.7779000000005</c:v>
                </c:pt>
                <c:pt idx="51">
                  <c:v>0</c:v>
                </c:pt>
                <c:pt idx="52">
                  <c:v>-9.1946999999999992</c:v>
                </c:pt>
                <c:pt idx="53">
                  <c:v>11.920500000000001</c:v>
                </c:pt>
                <c:pt idx="54">
                  <c:v>5540.0127000000002</c:v>
                </c:pt>
                <c:pt idx="55">
                  <c:v>44.150000000000006</c:v>
                </c:pt>
                <c:pt idx="56">
                  <c:v>58.400799999999997</c:v>
                </c:pt>
                <c:pt idx="57">
                  <c:v>-1525.6869999999999</c:v>
                </c:pt>
                <c:pt idx="58">
                  <c:v>6199.8365000000003</c:v>
                </c:pt>
                <c:pt idx="59">
                  <c:v>2.3674000000000004</c:v>
                </c:pt>
                <c:pt idx="60">
                  <c:v>3.4649000000000001</c:v>
                </c:pt>
                <c:pt idx="61">
                  <c:v>-3.3592</c:v>
                </c:pt>
                <c:pt idx="62">
                  <c:v>0</c:v>
                </c:pt>
                <c:pt idx="63">
                  <c:v>0</c:v>
                </c:pt>
                <c:pt idx="64">
                  <c:v>3843.0217999999995</c:v>
                </c:pt>
                <c:pt idx="65">
                  <c:v>27.6433</c:v>
                </c:pt>
                <c:pt idx="66">
                  <c:v>10246.054899999999</c:v>
                </c:pt>
                <c:pt idx="67">
                  <c:v>881.0868999999999</c:v>
                </c:pt>
                <c:pt idx="68">
                  <c:v>-116.864</c:v>
                </c:pt>
                <c:pt idx="69">
                  <c:v>379.09409999999997</c:v>
                </c:pt>
                <c:pt idx="70">
                  <c:v>-147.1721</c:v>
                </c:pt>
                <c:pt idx="71">
                  <c:v>429.25559999999996</c:v>
                </c:pt>
                <c:pt idx="72">
                  <c:v>252.19610000000003</c:v>
                </c:pt>
                <c:pt idx="73">
                  <c:v>3574.2648000000004</c:v>
                </c:pt>
                <c:pt idx="74">
                  <c:v>0.77590000000000003</c:v>
                </c:pt>
                <c:pt idx="75">
                  <c:v>189.79689999999999</c:v>
                </c:pt>
                <c:pt idx="76">
                  <c:v>587.9351999999999</c:v>
                </c:pt>
                <c:pt idx="77">
                  <c:v>2.7223000000000002</c:v>
                </c:pt>
                <c:pt idx="78">
                  <c:v>6858.3462000000009</c:v>
                </c:pt>
                <c:pt idx="79">
                  <c:v>18.222799999999999</c:v>
                </c:pt>
                <c:pt idx="80">
                  <c:v>62.846900000000005</c:v>
                </c:pt>
                <c:pt idx="81">
                  <c:v>1215.3109999999999</c:v>
                </c:pt>
                <c:pt idx="82">
                  <c:v>0</c:v>
                </c:pt>
                <c:pt idx="83">
                  <c:v>717.55590000000007</c:v>
                </c:pt>
                <c:pt idx="84">
                  <c:v>0.30399999999999999</c:v>
                </c:pt>
                <c:pt idx="85">
                  <c:v>4546.2993999999999</c:v>
                </c:pt>
                <c:pt idx="86">
                  <c:v>1541.4431999999999</c:v>
                </c:pt>
                <c:pt idx="87">
                  <c:v>478.19449999999995</c:v>
                </c:pt>
                <c:pt idx="88">
                  <c:v>447.37679999999995</c:v>
                </c:pt>
                <c:pt idx="89">
                  <c:v>0</c:v>
                </c:pt>
                <c:pt idx="90">
                  <c:v>0</c:v>
                </c:pt>
                <c:pt idx="91">
                  <c:v>23905.680499999995</c:v>
                </c:pt>
                <c:pt idx="92">
                  <c:v>2.1406000000000001</c:v>
                </c:pt>
                <c:pt idx="93">
                  <c:v>2773.4540999999999</c:v>
                </c:pt>
                <c:pt idx="94">
                  <c:v>2.3182999999999998</c:v>
                </c:pt>
                <c:pt idx="95">
                  <c:v>2787.5027</c:v>
                </c:pt>
                <c:pt idx="96">
                  <c:v>1.9024000000000001</c:v>
                </c:pt>
                <c:pt idx="97">
                  <c:v>-0.17710000000000001</c:v>
                </c:pt>
                <c:pt idx="98">
                  <c:v>8392.519400000001</c:v>
                </c:pt>
                <c:pt idx="99">
                  <c:v>69.132099999999994</c:v>
                </c:pt>
                <c:pt idx="100">
                  <c:v>827.32390000000009</c:v>
                </c:pt>
                <c:pt idx="101">
                  <c:v>0</c:v>
                </c:pt>
                <c:pt idx="102">
                  <c:v>124.50389999999999</c:v>
                </c:pt>
                <c:pt idx="103">
                  <c:v>0.2389</c:v>
                </c:pt>
                <c:pt idx="104">
                  <c:v>0</c:v>
                </c:pt>
                <c:pt idx="105">
                  <c:v>-1349.5799</c:v>
                </c:pt>
                <c:pt idx="106">
                  <c:v>0</c:v>
                </c:pt>
                <c:pt idx="107">
                  <c:v>61.170400000000008</c:v>
                </c:pt>
                <c:pt idx="108">
                  <c:v>141.76490000000001</c:v>
                </c:pt>
                <c:pt idx="109">
                  <c:v>3216.7950999999998</c:v>
                </c:pt>
                <c:pt idx="110">
                  <c:v>9247.7762000000002</c:v>
                </c:pt>
                <c:pt idx="111">
                  <c:v>279.14370000000002</c:v>
                </c:pt>
                <c:pt idx="112">
                  <c:v>5.9284999999999997</c:v>
                </c:pt>
                <c:pt idx="113">
                  <c:v>113.29300000000001</c:v>
                </c:pt>
                <c:pt idx="114">
                  <c:v>0</c:v>
                </c:pt>
                <c:pt idx="115">
                  <c:v>4192.6634999999997</c:v>
                </c:pt>
                <c:pt idx="116">
                  <c:v>0</c:v>
                </c:pt>
                <c:pt idx="117">
                  <c:v>8155.6150999999991</c:v>
                </c:pt>
                <c:pt idx="118">
                  <c:v>-34.035699999999999</c:v>
                </c:pt>
                <c:pt idx="119">
                  <c:v>31.3537</c:v>
                </c:pt>
                <c:pt idx="120">
                  <c:v>9.7604000000000042</c:v>
                </c:pt>
                <c:pt idx="121">
                  <c:v>0</c:v>
                </c:pt>
                <c:pt idx="122">
                  <c:v>345.19709999999998</c:v>
                </c:pt>
                <c:pt idx="123">
                  <c:v>1.2579</c:v>
                </c:pt>
                <c:pt idx="124">
                  <c:v>314.18090000000001</c:v>
                </c:pt>
                <c:pt idx="125">
                  <c:v>4.4342000000000024</c:v>
                </c:pt>
                <c:pt idx="126">
                  <c:v>7049.8493999999992</c:v>
                </c:pt>
                <c:pt idx="127">
                  <c:v>18.760100000000001</c:v>
                </c:pt>
                <c:pt idx="128">
                  <c:v>-171.71680000000001</c:v>
                </c:pt>
                <c:pt idx="129">
                  <c:v>0.48380000000000001</c:v>
                </c:pt>
                <c:pt idx="130">
                  <c:v>426.12529999999998</c:v>
                </c:pt>
                <c:pt idx="131">
                  <c:v>-76.065599999999961</c:v>
                </c:pt>
                <c:pt idx="132">
                  <c:v>-1.7425999999999999</c:v>
                </c:pt>
                <c:pt idx="133">
                  <c:v>32.278999999999982</c:v>
                </c:pt>
                <c:pt idx="134">
                  <c:v>3243.5454</c:v>
                </c:pt>
                <c:pt idx="135">
                  <c:v>0</c:v>
                </c:pt>
                <c:pt idx="136">
                  <c:v>1117.7899</c:v>
                </c:pt>
                <c:pt idx="137">
                  <c:v>214.09450000000001</c:v>
                </c:pt>
                <c:pt idx="138">
                  <c:v>1139.5917999999999</c:v>
                </c:pt>
                <c:pt idx="139">
                  <c:v>1508.1076</c:v>
                </c:pt>
              </c:numCache>
            </c:numRef>
          </c:val>
          <c:smooth val="0"/>
          <c:extLst>
            <c:ext xmlns:c16="http://schemas.microsoft.com/office/drawing/2014/chart" uri="{C3380CC4-5D6E-409C-BE32-E72D297353CC}">
              <c16:uniqueId val="{00000000-DE55-4E80-B9FF-691E6C9CBD09}"/>
            </c:ext>
          </c:extLst>
        </c:ser>
        <c:dLbls>
          <c:showLegendKey val="0"/>
          <c:showVal val="0"/>
          <c:showCatName val="0"/>
          <c:showSerName val="0"/>
          <c:showPercent val="0"/>
          <c:showBubbleSize val="0"/>
        </c:dLbls>
        <c:smooth val="0"/>
        <c:axId val="2068047519"/>
        <c:axId val="2068048959"/>
      </c:lineChart>
      <c:catAx>
        <c:axId val="206804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8048959"/>
        <c:crosses val="autoZero"/>
        <c:auto val="1"/>
        <c:lblAlgn val="ctr"/>
        <c:lblOffset val="100"/>
        <c:noMultiLvlLbl val="0"/>
      </c:catAx>
      <c:valAx>
        <c:axId val="2068048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804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297180</xdr:colOff>
      <xdr:row>4</xdr:row>
      <xdr:rowOff>68580</xdr:rowOff>
    </xdr:from>
    <xdr:to>
      <xdr:col>14</xdr:col>
      <xdr:colOff>525780</xdr:colOff>
      <xdr:row>21</xdr:row>
      <xdr:rowOff>152400</xdr:rowOff>
    </xdr:to>
    <xdr:graphicFrame macro="">
      <xdr:nvGraphicFramePr>
        <xdr:cNvPr id="2" name="Chart 1">
          <a:extLst>
            <a:ext uri="{FF2B5EF4-FFF2-40B4-BE49-F238E27FC236}">
              <a16:creationId xmlns:a16="http://schemas.microsoft.com/office/drawing/2014/main" id="{F500F959-0BD7-0B28-29A5-1DC20EB40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4</xdr:row>
      <xdr:rowOff>87630</xdr:rowOff>
    </xdr:from>
    <xdr:to>
      <xdr:col>19</xdr:col>
      <xdr:colOff>266700</xdr:colOff>
      <xdr:row>19</xdr:row>
      <xdr:rowOff>87630</xdr:rowOff>
    </xdr:to>
    <xdr:graphicFrame macro="">
      <xdr:nvGraphicFramePr>
        <xdr:cNvPr id="2" name="Chart 1">
          <a:extLst>
            <a:ext uri="{FF2B5EF4-FFF2-40B4-BE49-F238E27FC236}">
              <a16:creationId xmlns:a16="http://schemas.microsoft.com/office/drawing/2014/main" id="{B41C3F6A-CBFE-A472-DB60-563B1E925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571500</xdr:colOff>
      <xdr:row>3</xdr:row>
      <xdr:rowOff>64770</xdr:rowOff>
    </xdr:from>
    <xdr:to>
      <xdr:col>15</xdr:col>
      <xdr:colOff>0</xdr:colOff>
      <xdr:row>21</xdr:row>
      <xdr:rowOff>68580</xdr:rowOff>
    </xdr:to>
    <xdr:graphicFrame macro="">
      <xdr:nvGraphicFramePr>
        <xdr:cNvPr id="2" name="Chart 1">
          <a:extLst>
            <a:ext uri="{FF2B5EF4-FFF2-40B4-BE49-F238E27FC236}">
              <a16:creationId xmlns:a16="http://schemas.microsoft.com/office/drawing/2014/main" id="{6858CE92-37E9-423A-0E74-3E2F69F56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167640</xdr:colOff>
      <xdr:row>3</xdr:row>
      <xdr:rowOff>156210</xdr:rowOff>
    </xdr:from>
    <xdr:to>
      <xdr:col>14</xdr:col>
      <xdr:colOff>45720</xdr:colOff>
      <xdr:row>18</xdr:row>
      <xdr:rowOff>156210</xdr:rowOff>
    </xdr:to>
    <xdr:graphicFrame macro="">
      <xdr:nvGraphicFramePr>
        <xdr:cNvPr id="4" name="Chart 3">
          <a:extLst>
            <a:ext uri="{FF2B5EF4-FFF2-40B4-BE49-F238E27FC236}">
              <a16:creationId xmlns:a16="http://schemas.microsoft.com/office/drawing/2014/main" id="{24D2C8B5-9D47-E1B4-436E-C180C38F5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464820</xdr:colOff>
      <xdr:row>5</xdr:row>
      <xdr:rowOff>175260</xdr:rowOff>
    </xdr:from>
    <xdr:to>
      <xdr:col>7</xdr:col>
      <xdr:colOff>22860</xdr:colOff>
      <xdr:row>20</xdr:row>
      <xdr:rowOff>99060</xdr:rowOff>
    </xdr:to>
    <xdr:graphicFrame macro="">
      <xdr:nvGraphicFramePr>
        <xdr:cNvPr id="3" name="Chart 2">
          <a:extLst>
            <a:ext uri="{FF2B5EF4-FFF2-40B4-BE49-F238E27FC236}">
              <a16:creationId xmlns:a16="http://schemas.microsoft.com/office/drawing/2014/main" id="{1A25E743-AE0A-208C-A21D-E1937D94A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320040</xdr:colOff>
      <xdr:row>4</xdr:row>
      <xdr:rowOff>167640</xdr:rowOff>
    </xdr:from>
    <xdr:to>
      <xdr:col>13</xdr:col>
      <xdr:colOff>91440</xdr:colOff>
      <xdr:row>20</xdr:row>
      <xdr:rowOff>34290</xdr:rowOff>
    </xdr:to>
    <xdr:graphicFrame macro="">
      <xdr:nvGraphicFramePr>
        <xdr:cNvPr id="2" name="Chart 1">
          <a:extLst>
            <a:ext uri="{FF2B5EF4-FFF2-40B4-BE49-F238E27FC236}">
              <a16:creationId xmlns:a16="http://schemas.microsoft.com/office/drawing/2014/main" id="{4F4613B1-70E6-53E9-2878-5B2C3F364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51661</xdr:colOff>
      <xdr:row>1</xdr:row>
      <xdr:rowOff>25831</xdr:rowOff>
    </xdr:from>
    <xdr:to>
      <xdr:col>21</xdr:col>
      <xdr:colOff>322882</xdr:colOff>
      <xdr:row>5</xdr:row>
      <xdr:rowOff>19188</xdr:rowOff>
    </xdr:to>
    <xdr:sp macro="" textlink="">
      <xdr:nvSpPr>
        <xdr:cNvPr id="2" name="TextBox 1">
          <a:extLst>
            <a:ext uri="{FF2B5EF4-FFF2-40B4-BE49-F238E27FC236}">
              <a16:creationId xmlns:a16="http://schemas.microsoft.com/office/drawing/2014/main" id="{3EFD49B5-3702-DB1D-D08D-01531D606FC0}"/>
            </a:ext>
          </a:extLst>
        </xdr:cNvPr>
        <xdr:cNvSpPr txBox="1"/>
      </xdr:nvSpPr>
      <xdr:spPr>
        <a:xfrm>
          <a:off x="9763932" y="206645"/>
          <a:ext cx="3913323" cy="716611"/>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tx1"/>
              </a:solidFill>
            </a:rPr>
            <a:t>DASHBOARD</a:t>
          </a:r>
        </a:p>
      </xdr:txBody>
    </xdr:sp>
    <xdr:clientData/>
  </xdr:twoCellAnchor>
  <xdr:twoCellAnchor>
    <xdr:from>
      <xdr:col>0</xdr:col>
      <xdr:colOff>0</xdr:colOff>
      <xdr:row>6</xdr:row>
      <xdr:rowOff>0</xdr:rowOff>
    </xdr:from>
    <xdr:to>
      <xdr:col>11</xdr:col>
      <xdr:colOff>228600</xdr:colOff>
      <xdr:row>23</xdr:row>
      <xdr:rowOff>46808</xdr:rowOff>
    </xdr:to>
    <xdr:graphicFrame macro="">
      <xdr:nvGraphicFramePr>
        <xdr:cNvPr id="3" name="Chart 2">
          <a:extLst>
            <a:ext uri="{FF2B5EF4-FFF2-40B4-BE49-F238E27FC236}">
              <a16:creationId xmlns:a16="http://schemas.microsoft.com/office/drawing/2014/main" id="{2F546994-57F4-42A3-B5B0-CD8926720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32657</xdr:colOff>
      <xdr:row>5</xdr:row>
      <xdr:rowOff>185056</xdr:rowOff>
    </xdr:from>
    <xdr:to>
      <xdr:col>22</xdr:col>
      <xdr:colOff>239486</xdr:colOff>
      <xdr:row>23</xdr:row>
      <xdr:rowOff>32656</xdr:rowOff>
    </xdr:to>
    <xdr:graphicFrame macro="">
      <xdr:nvGraphicFramePr>
        <xdr:cNvPr id="4" name="Chart 3">
          <a:extLst>
            <a:ext uri="{FF2B5EF4-FFF2-40B4-BE49-F238E27FC236}">
              <a16:creationId xmlns:a16="http://schemas.microsoft.com/office/drawing/2014/main" id="{46431C01-EC18-4E88-9034-CE184E6C3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576943</xdr:colOff>
      <xdr:row>6</xdr:row>
      <xdr:rowOff>10885</xdr:rowOff>
    </xdr:from>
    <xdr:to>
      <xdr:col>32</xdr:col>
      <xdr:colOff>5443</xdr:colOff>
      <xdr:row>23</xdr:row>
      <xdr:rowOff>54428</xdr:rowOff>
    </xdr:to>
    <xdr:graphicFrame macro="">
      <xdr:nvGraphicFramePr>
        <xdr:cNvPr id="5" name="Chart 4">
          <a:extLst>
            <a:ext uri="{FF2B5EF4-FFF2-40B4-BE49-F238E27FC236}">
              <a16:creationId xmlns:a16="http://schemas.microsoft.com/office/drawing/2014/main" id="{E93D35FA-EA7A-4687-94CD-0D9ACA205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51661</xdr:colOff>
      <xdr:row>26</xdr:row>
      <xdr:rowOff>4242</xdr:rowOff>
    </xdr:from>
    <xdr:to>
      <xdr:col>11</xdr:col>
      <xdr:colOff>280261</xdr:colOff>
      <xdr:row>42</xdr:row>
      <xdr:rowOff>54428</xdr:rowOff>
    </xdr:to>
    <xdr:graphicFrame macro="">
      <xdr:nvGraphicFramePr>
        <xdr:cNvPr id="6" name="Chart 5">
          <a:extLst>
            <a:ext uri="{FF2B5EF4-FFF2-40B4-BE49-F238E27FC236}">
              <a16:creationId xmlns:a16="http://schemas.microsoft.com/office/drawing/2014/main" id="{EDE56592-3484-4FCA-B37C-67E4AC3A0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51660</xdr:colOff>
      <xdr:row>26</xdr:row>
      <xdr:rowOff>12916</xdr:rowOff>
    </xdr:from>
    <xdr:to>
      <xdr:col>22</xdr:col>
      <xdr:colOff>297049</xdr:colOff>
      <xdr:row>42</xdr:row>
      <xdr:rowOff>38746</xdr:rowOff>
    </xdr:to>
    <xdr:graphicFrame macro="">
      <xdr:nvGraphicFramePr>
        <xdr:cNvPr id="7" name="Chart 6">
          <a:extLst>
            <a:ext uri="{FF2B5EF4-FFF2-40B4-BE49-F238E27FC236}">
              <a16:creationId xmlns:a16="http://schemas.microsoft.com/office/drawing/2014/main" id="{45294C7B-D05B-470C-835C-44C6B1F1D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54242</xdr:colOff>
      <xdr:row>25</xdr:row>
      <xdr:rowOff>159226</xdr:rowOff>
    </xdr:from>
    <xdr:to>
      <xdr:col>32</xdr:col>
      <xdr:colOff>32471</xdr:colOff>
      <xdr:row>42</xdr:row>
      <xdr:rowOff>83026</xdr:rowOff>
    </xdr:to>
    <xdr:graphicFrame macro="">
      <xdr:nvGraphicFramePr>
        <xdr:cNvPr id="8" name="Chart 7">
          <a:extLst>
            <a:ext uri="{FF2B5EF4-FFF2-40B4-BE49-F238E27FC236}">
              <a16:creationId xmlns:a16="http://schemas.microsoft.com/office/drawing/2014/main" id="{A2BA3FDB-26D2-493E-821E-67F17DDC9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35</xdr:col>
      <xdr:colOff>571500</xdr:colOff>
      <xdr:row>21</xdr:row>
      <xdr:rowOff>76201</xdr:rowOff>
    </xdr:from>
    <xdr:to>
      <xdr:col>38</xdr:col>
      <xdr:colOff>571500</xdr:colOff>
      <xdr:row>40</xdr:row>
      <xdr:rowOff>87086</xdr:rowOff>
    </xdr:to>
    <mc:AlternateContent xmlns:mc="http://schemas.openxmlformats.org/markup-compatibility/2006" xmlns:a14="http://schemas.microsoft.com/office/drawing/2010/main">
      <mc:Choice Requires="a14">
        <xdr:graphicFrame macro="">
          <xdr:nvGraphicFramePr>
            <xdr:cNvPr id="9" name="Product Description">
              <a:extLst>
                <a:ext uri="{FF2B5EF4-FFF2-40B4-BE49-F238E27FC236}">
                  <a16:creationId xmlns:a16="http://schemas.microsoft.com/office/drawing/2014/main" id="{32802DCA-AACB-EC1C-8365-97D1B68CD41B}"/>
                </a:ext>
              </a:extLst>
            </xdr:cNvPr>
            <xdr:cNvGraphicFramePr/>
          </xdr:nvGraphicFramePr>
          <xdr:xfrm>
            <a:off x="0" y="0"/>
            <a:ext cx="0" cy="0"/>
          </xdr:xfrm>
          <a:graphic>
            <a:graphicData uri="http://schemas.microsoft.com/office/drawing/2010/slicer">
              <sle:slicer xmlns:sle="http://schemas.microsoft.com/office/drawing/2010/slicer" name="Product Description"/>
            </a:graphicData>
          </a:graphic>
        </xdr:graphicFrame>
      </mc:Choice>
      <mc:Fallback xmlns="">
        <xdr:sp macro="" textlink="">
          <xdr:nvSpPr>
            <xdr:cNvPr id="0" name=""/>
            <xdr:cNvSpPr>
              <a:spLocks noTextEdit="1"/>
            </xdr:cNvSpPr>
          </xdr:nvSpPr>
          <xdr:spPr>
            <a:xfrm>
              <a:off x="22437025" y="3873286"/>
              <a:ext cx="1821051" cy="3446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304798</xdr:colOff>
      <xdr:row>16</xdr:row>
      <xdr:rowOff>44632</xdr:rowOff>
    </xdr:from>
    <xdr:to>
      <xdr:col>35</xdr:col>
      <xdr:colOff>387530</xdr:colOff>
      <xdr:row>40</xdr:row>
      <xdr:rowOff>119743</xdr:rowOff>
    </xdr:to>
    <mc:AlternateContent xmlns:mc="http://schemas.openxmlformats.org/markup-compatibility/2006" xmlns:a14="http://schemas.microsoft.com/office/drawing/2010/main">
      <mc:Choice Requires="a14">
        <xdr:graphicFrame macro="">
          <xdr:nvGraphicFramePr>
            <xdr:cNvPr id="10" name="Manufacturer">
              <a:extLst>
                <a:ext uri="{FF2B5EF4-FFF2-40B4-BE49-F238E27FC236}">
                  <a16:creationId xmlns:a16="http://schemas.microsoft.com/office/drawing/2014/main" id="{07F9F436-5C2C-97E1-8DE6-3DDEA3819404}"/>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20336357" y="2937649"/>
              <a:ext cx="1916698" cy="4414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562791</xdr:colOff>
      <xdr:row>11</xdr:row>
      <xdr:rowOff>143692</xdr:rowOff>
    </xdr:from>
    <xdr:to>
      <xdr:col>38</xdr:col>
      <xdr:colOff>562791</xdr:colOff>
      <xdr:row>20</xdr:row>
      <xdr:rowOff>174170</xdr:rowOff>
    </xdr:to>
    <mc:AlternateContent xmlns:mc="http://schemas.openxmlformats.org/markup-compatibility/2006" xmlns:a14="http://schemas.microsoft.com/office/drawing/2010/main">
      <mc:Choice Requires="a14">
        <xdr:graphicFrame macro="">
          <xdr:nvGraphicFramePr>
            <xdr:cNvPr id="11" name="Brand">
              <a:extLst>
                <a:ext uri="{FF2B5EF4-FFF2-40B4-BE49-F238E27FC236}">
                  <a16:creationId xmlns:a16="http://schemas.microsoft.com/office/drawing/2014/main" id="{B2736085-DAF0-B6F0-E2ED-8C62E151F90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2428316" y="2132641"/>
              <a:ext cx="1821051" cy="165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566058</xdr:colOff>
      <xdr:row>6</xdr:row>
      <xdr:rowOff>87086</xdr:rowOff>
    </xdr:from>
    <xdr:to>
      <xdr:col>38</xdr:col>
      <xdr:colOff>511628</xdr:colOff>
      <xdr:row>11</xdr:row>
      <xdr:rowOff>32658</xdr:rowOff>
    </xdr:to>
    <mc:AlternateContent xmlns:mc="http://schemas.openxmlformats.org/markup-compatibility/2006" xmlns:a14="http://schemas.microsoft.com/office/drawing/2010/main">
      <mc:Choice Requires="a14">
        <xdr:graphicFrame macro="">
          <xdr:nvGraphicFramePr>
            <xdr:cNvPr id="12" name="Package">
              <a:extLst>
                <a:ext uri="{FF2B5EF4-FFF2-40B4-BE49-F238E27FC236}">
                  <a16:creationId xmlns:a16="http://schemas.microsoft.com/office/drawing/2014/main" id="{10E4CC95-353F-D54C-8B7B-6EE79B72E20F}"/>
                </a:ext>
              </a:extLst>
            </xdr:cNvPr>
            <xdr:cNvGraphicFramePr/>
          </xdr:nvGraphicFramePr>
          <xdr:xfrm>
            <a:off x="0" y="0"/>
            <a:ext cx="0" cy="0"/>
          </xdr:xfrm>
          <a:graphic>
            <a:graphicData uri="http://schemas.microsoft.com/office/drawing/2010/slicer">
              <sle:slicer xmlns:sle="http://schemas.microsoft.com/office/drawing/2010/slicer" name="Package"/>
            </a:graphicData>
          </a:graphic>
        </xdr:graphicFrame>
      </mc:Choice>
      <mc:Fallback xmlns="">
        <xdr:sp macro="" textlink="">
          <xdr:nvSpPr>
            <xdr:cNvPr id="0" name=""/>
            <xdr:cNvSpPr>
              <a:spLocks noTextEdit="1"/>
            </xdr:cNvSpPr>
          </xdr:nvSpPr>
          <xdr:spPr>
            <a:xfrm>
              <a:off x="22431583" y="1171967"/>
              <a:ext cx="1766621" cy="84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314595</xdr:colOff>
      <xdr:row>6</xdr:row>
      <xdr:rowOff>58783</xdr:rowOff>
    </xdr:from>
    <xdr:to>
      <xdr:col>35</xdr:col>
      <xdr:colOff>391884</xdr:colOff>
      <xdr:row>15</xdr:row>
      <xdr:rowOff>97971</xdr:rowOff>
    </xdr:to>
    <mc:AlternateContent xmlns:mc="http://schemas.openxmlformats.org/markup-compatibility/2006" xmlns:a14="http://schemas.microsoft.com/office/drawing/2010/main">
      <mc:Choice Requires="a14">
        <xdr:graphicFrame macro="">
          <xdr:nvGraphicFramePr>
            <xdr:cNvPr id="13" name="Product Attributes">
              <a:extLst>
                <a:ext uri="{FF2B5EF4-FFF2-40B4-BE49-F238E27FC236}">
                  <a16:creationId xmlns:a16="http://schemas.microsoft.com/office/drawing/2014/main" id="{88117FD2-75E8-36BF-0703-F9B671E28822}"/>
                </a:ext>
              </a:extLst>
            </xdr:cNvPr>
            <xdr:cNvGraphicFramePr/>
          </xdr:nvGraphicFramePr>
          <xdr:xfrm>
            <a:off x="0" y="0"/>
            <a:ext cx="0" cy="0"/>
          </xdr:xfrm>
          <a:graphic>
            <a:graphicData uri="http://schemas.microsoft.com/office/drawing/2010/slicer">
              <sle:slicer xmlns:sle="http://schemas.microsoft.com/office/drawing/2010/slicer" name="Product Attributes"/>
            </a:graphicData>
          </a:graphic>
        </xdr:graphicFrame>
      </mc:Choice>
      <mc:Fallback xmlns="">
        <xdr:sp macro="" textlink="">
          <xdr:nvSpPr>
            <xdr:cNvPr id="0" name=""/>
            <xdr:cNvSpPr>
              <a:spLocks noTextEdit="1"/>
            </xdr:cNvSpPr>
          </xdr:nvSpPr>
          <xdr:spPr>
            <a:xfrm>
              <a:off x="20346154" y="1143664"/>
              <a:ext cx="1911255" cy="1666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3.877634143515" createdVersion="8" refreshedVersion="8" minRefreshableVersion="3" recordCount="501" xr:uid="{DE7E037B-00BC-498B-9A86-45D4819F72DD}">
  <cacheSource type="worksheet">
    <worksheetSource ref="A1:L502" sheet="Source"/>
  </cacheSource>
  <cacheFields count="12">
    <cacheField name="Product Description" numFmtId="49">
      <sharedItems/>
    </cacheField>
    <cacheField name="Manufacturer" numFmtId="49">
      <sharedItems count="98">
        <s v=" Nova Garbagnate"/>
        <s v=" BeneCare"/>
        <s v=" VigaLife"/>
        <s v=" Intelligent Initiative"/>
        <s v=" BroadLeaf Group"/>
        <s v=" ArborChemistry"/>
        <s v=" ArkPapers"/>
        <s v=" Arkana PaperCraft"/>
        <s v=" Fragrantium S.A."/>
        <s v=" ArsenicChem"/>
        <s v=" Creativa Worldwide"/>
        <s v=" CultureSana"/>
        <s v=" Ataman Industries"/>
        <s v=" AxisOn Group"/>
        <s v=" PureAim Cleaners"/>
        <s v=" AlpineMeadow"/>
        <s v=" BioRealm Corp"/>
        <s v=" TradeKing Cengiz"/>
        <s v=" ClearSight"/>
        <s v=" CodeInt B.V."/>
        <s v=" ChillClean"/>
        <s v=" Cosmopolitan Italy"/>
        <s v=" CottonUnion"/>
        <s v=" EnkaHygiene"/>
        <s v=" ErusHealth Products"/>
        <s v=" Esburg Health"/>
        <s v=" SCProducts"/>
        <s v=" EssentialsCo"/>
        <s v=" EveCraft"/>
        <s v=" FemmeBeauty"/>
        <s v=" Fulya Beauty"/>
        <s v=" Grace Corp"/>
        <s v=" SouthernGroup SP"/>
        <s v=" AvellinoGroup SRL"/>
        <s v=" RoseBeauty"/>
        <s v=" CleanHarper"/>
        <s v=" LifeChem"/>
        <s v=" MountainMedicine"/>
        <s v=" Swift GMBH"/>
        <s v=" InsideGlobal"/>
        <s v=" CelticWind Ltd"/>
        <s v=" JellyHealth"/>
        <s v=" Thomson &amp; Thomson"/>
        <s v=" KalesCo"/>
        <s v=" CapPlus"/>
        <s v=" BrothersFlyProducts SAN A.S."/>
        <s v=" Snowball Cologne"/>
        <s v=" Kimberly Stone"/>
        <s v=" OliveTree S.A."/>
        <s v=" CosmicChem"/>
        <s v=" LabExpand"/>
        <s v=" LansinLab Inc"/>
        <s v=" Lara Beauty"/>
        <s v=" LeaderHealthFood"/>
        <s v=" GlobalMap"/>
        <s v=" PrimeBrands Marketing B.V."/>
        <s v=" Giga S.A."/>
        <s v=" MontraWorld"/>
        <s v=" Moratex Group / Tobi MegaGroup LTD"/>
        <s v=" MoreBeauty"/>
        <s v=" NaturalCo AB"/>
        <s v=" Voyage Turkey"/>
        <s v=" Nur Food Industry"/>
        <s v=" O-Package S.R.L."/>
        <s v=" OnTop"/>
        <s v=" CrescentTextile SAN"/>
        <s v=" PakChem"/>
        <s v=" Daisy Cotton Cosmetics"/>
        <s v=" IdealGroup"/>
        <s v=" PhoenixMedicine DOO"/>
        <s v=" FabreStone"/>
        <s v=" Pyramid72 DOO"/>
        <s v=" PreDone"/>
        <s v=" ProStart 97"/>
        <s v=" Proctor &amp; Wager"/>
        <s v=" PuigPeak"/>
        <s v=" QueenTrade LTD"/>
        <s v=" ColorSan"/>
        <s v=" SanHealth LTD"/>
        <s v=" SaproClean"/>
        <s v=" EuroPack Communications SRL"/>
        <s v=" SigmaKappaZeta Co."/>
        <s v=" SebaMedicines"/>
        <s v=" SignalTrade"/>
        <s v=" SepaTextiles"/>
        <s v=" SeptOn SA"/>
        <s v=" LovelyCo"/>
        <s v=" Quake S.P.A."/>
        <s v=" HappyBeauty A.S."/>
        <s v=" QueenStand Investment"/>
        <s v=" BladeSon LTD"/>
        <s v=" TahaChem Cosmetics"/>
        <s v=" TextileSan"/>
        <s v=" FoodTNCR"/>
        <s v=" TroyBeauty Trade"/>
        <s v=" Unac Beauty Makers SAN."/>
        <s v=" UniHandle"/>
        <s v=" GreenIlgaz Group"/>
      </sharedItems>
    </cacheField>
    <cacheField name="Brand" numFmtId="0">
      <sharedItems/>
    </cacheField>
    <cacheField name="Package" numFmtId="49">
      <sharedItems/>
    </cacheField>
    <cacheField name="Product Attributes" numFmtId="49">
      <sharedItems/>
    </cacheField>
    <cacheField name="Size" numFmtId="0">
      <sharedItems containsSemiMixedTypes="0" containsString="0" containsNumber="1" containsInteger="1" minValue="10" maxValue="240"/>
    </cacheField>
    <cacheField name="2022 Value" numFmtId="39">
      <sharedItems containsSemiMixedTypes="0" containsString="0" containsNumber="1" minValue="0" maxValue="1663.8369"/>
    </cacheField>
    <cacheField name="2023 Value" numFmtId="39">
      <sharedItems containsSemiMixedTypes="0" containsString="0" containsNumber="1" minValue="0" maxValue="1815.6596999999999"/>
    </cacheField>
    <cacheField name="YTD 24 Value" numFmtId="39">
      <sharedItems containsSemiMixedTypes="0" containsString="0" containsNumber="1" minValue="0" maxValue="1049.2485999999999"/>
    </cacheField>
    <cacheField name="2022 Volume" numFmtId="39">
      <sharedItems containsSemiMixedTypes="0" containsString="0" containsNumber="1" minValue="0" maxValue="62012.672500000001"/>
    </cacheField>
    <cacheField name="2023 Volume" numFmtId="39">
      <sharedItems containsSemiMixedTypes="0" containsString="0" containsNumber="1" minValue="0" maxValue="68679.966"/>
    </cacheField>
    <cacheField name="YTD 24 Volume" numFmtId="39">
      <sharedItems containsSemiMixedTypes="0" containsString="0" containsNumber="1" minValue="0" maxValue="37856.88199999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3.898700115744" createdVersion="8" refreshedVersion="8" minRefreshableVersion="3" recordCount="502" xr:uid="{73BEDC19-88D3-49B1-AC7B-BD8C74B367E7}">
  <cacheSource type="worksheet">
    <worksheetSource ref="A1:L1048576" sheet="Source"/>
  </cacheSource>
  <cacheFields count="12">
    <cacheField name="Product Description" numFmtId="0">
      <sharedItems containsBlank="1" count="502">
        <s v="BABY2000 CAMOMILLA W 20 BAG ABA SRL"/>
        <s v="BAMBO NATURE W 80 BAG KAPAK"/>
        <s v="BABY CREMA PLAY TIME CAMOMILE W 100 PINK"/>
        <s v="BABYCREMA PLAYTIME CAMOMILE W 100 ORANGE"/>
        <s v="BABY CREMA CAMOMIL W 120 BAG KAPAK"/>
        <s v="BABY CREMA ALOE 15 BAG"/>
        <s v="BABY CREMA CAMOMIL W 15 BAG"/>
        <s v="BABY CREMA PH5.5 W 3X15/1FR BAG &amp;&amp;&amp;"/>
        <s v="BABY CREMA WATER 99% W 15 BAG"/>
        <s v="BABY CREMA CAMOMIL W 40 BAG"/>
        <s v="BABY CREMA COTTON&amp;PANTENOL W 4X56 BAG"/>
        <s v="BABY CREMA COTTON&amp;PANTENOL W 56 BAG"/>
        <s v="BABY CREMA ALOE 64 BAG"/>
        <s v="BABY CREMA CAMOMIL W 64 BAG"/>
        <s v="BABY CREMA PLAY TIME CAMOMIL W 64 BAG"/>
        <s v="BABYCREMA CAMOMIL W 4X64 BAG SUPERTSENA"/>
        <s v="BABY CREMA ALOE&amp;ALMOND OIL W 72 BAG"/>
        <s v="BABY CREMA CAMOMIL&amp;ALMOND W 72 BAG"/>
        <s v="BABY CREMA COTTON W 2X72BAG50%OT TS.VTOR"/>
        <s v="BABY CREMA COTTON&amp;PANTENOL W 72 BAG"/>
        <s v="BABY CREMA NEVEN PH5.5 W 72 BAG"/>
        <s v="BABY CREMA SMRADLIKA PH5.5 W 72 BAG"/>
        <s v="BABY CREMA WATER 99% W 72 BAG"/>
        <s v="BABYCREMA CAMOMILE W 2X72BAG50%OTTS.VTOR"/>
        <s v="BABYCREMA PLAYTIME CAMOMIL W 72 BAG KAPA"/>
        <s v="BABY CREMA ALOE W 80 BAG"/>
        <s v="BABY CREMA CAMOMIL W 80 BAG"/>
        <s v="LINDY VITAMIN E PH5.5 W 120 BAG"/>
        <s v="LINDY ALOE VERA&amp;VIT E W 64 BAG"/>
        <s v="LINDY ALOE VERA&amp;VIT E W 64 BAG KAPAK"/>
        <s v="LINDY CAMOMILE W 64 BAG"/>
        <s v="LINDY CAMOMILE W 64 BAG KAPAK"/>
        <s v="LINDY CREAM W 64 BAG KAPAK"/>
        <s v="LINDY CREAM&amp;VIT.E PH5.5 W 64 BAG"/>
        <s v="LINDY OLIVE OIL EXTR. PH5.5 W 64 BAG"/>
        <s v="LINDY OLIVE OIL EXTR. W 64 BAG KAPAK"/>
        <s v="LINDY SENSITIVE COTTON PH5.5 W 64 BAG"/>
        <s v="LINDY SENSITIVE W 64 BAG KAPAK"/>
        <s v="LINDY WHITE TEA&amp;VIT E W 64 BAG"/>
        <s v="LINDY PREMIUM LAVENDER W 90 BAG KAPAK"/>
        <s v="LUBA BABY B5&amp;VIT E PH5.5W 120 BAG"/>
        <s v="LUBA BABY B5&amp;VIT E PH5.5 90 W BAG"/>
        <s v="HUGGLO BABY PH5.5 W 120 BAG KAPAK"/>
        <s v="PAPILION BABY ALOE VERA W 100 BAG KAPAK"/>
        <s v="PAPILION BABY SENSITIVE W 100 BAG KAPAK"/>
        <s v="PAPILION BABY WET CHAMOMILE W 100 BAG"/>
        <s v="PAPILION BABY WET GREEN APPLE W 100 BAG"/>
        <s v="PAPILION BABYWET CHARM.LAVENDER W 100BAG"/>
        <s v="PAPILION BABYWET CHARMINGROSE W 100 BAG"/>
        <s v="PAPILION JUMBO WET PH5.5 W 120 BAG KAPAK"/>
        <s v="PAPILION BABY WET SENSITIVE W 72 BAG"/>
        <s v="PAPILION YELLOW LILY W 90 BAG KAPAK"/>
        <s v="PINE ALOE VERA KREMALI W 120 BAG KAPAK"/>
        <s v="PINE ALOE VERA KREMALI W 72 BAG KAPAK"/>
        <s v="TROMPY 20 BAG"/>
        <s v="HAPPY FRESH BABY W 72 BAG KAPAK"/>
        <s v="ULTRA COMPACT ANGELS ALC.FREE W 120 BAG"/>
        <s v="ULTRA COMPACT MOMO CREAMY W 120 BAG"/>
        <s v="ULTRA COMPACT ANGELS ALC.FREE W 72 BAG"/>
        <s v="ULTRACOMPACT BABY PH5.5 ALC.FREE W 72 BA"/>
        <s v="KANZ NATURAL SENS.SKIN ALC.FREE W120 BAG"/>
        <s v="KANZ EXTRA SOFT ALC.FREE W 50 BAG"/>
        <s v="KANZ ULTRA SOFT ALC.FREE W 72 BAG"/>
        <s v="CHICCO SALVIETTINE SENSITIVE W 60 BAG"/>
        <s v="CHICCO SALVIETTINE PARABENI W 72 BAG"/>
        <s v="UNI COMFORT LOTION P H5.5 72 BAG"/>
        <s v="EVENT BABY CALENDULA 140 BAG KAPAK"/>
        <s v="EVENT BABY CALENDULA 140 BAG KAPAK+WIP"/>
        <s v="EVENT BABY MOIST.CHAMOMILE 20 W BAG"/>
        <s v="EVENT BABY SENSIT. ALOE VERA 20 BAG"/>
        <s v="EVENT BABY CALENDULA W 25 BAG"/>
        <s v="EVENT BABY CALENDULA W 25 BAG+WIP 140"/>
        <s v="EVENT BABY CALENDULA HYPOALL.W 30 BAG"/>
        <s v="EVENT BABY HYPOAL.CALENDULA 64 W BAG"/>
        <s v="EVENT BABY HYPOALL.CHAMOMILE 72 W BAG"/>
        <s v="EVENT BABY MOIST.CHAMOMILE 72 W BAG"/>
        <s v="EVENT BABY SENSIT. ALOE VERA 72 W BAG"/>
        <s v="TEX BABY PH5.5 ALC.FREE W 100 BAG PURPLE"/>
        <s v="TEX BABY PH5.5 ALC.FREE W 100 BAG YELLOW"/>
        <s v="NIVEA BABY SOFT&amp;CREME 20 BAG"/>
        <s v="NIVEA BABY TODDIES 2IN1 60 BAG"/>
        <s v="NIVEA BABY FRESH&amp;PURE 63 BAG"/>
        <s v="NIVEA BABY PURE&amp;SENSITIVE 63 W BAG"/>
        <s v="NIVEA BABY SOFT&amp;CREME 63 BAG"/>
        <s v="SMILE ALOE&amp;CAMOMILE PH5.5 60 BAG"/>
        <s v="BABYCARE WITHCREAM W 80/8FREE BAG KAPAK"/>
        <s v="ClearSight BABY ALOE VERA PH5.5 W 25 BAG"/>
        <s v="ClearSight BABY CALENDULA PH5.5 W 25 BAG"/>
        <s v="ClearSight BABY CHAMOMILE PH5.5 W 25 BAG"/>
        <s v="ClearSight BABY CHAMOMILE PH5.5 W 66 BAG"/>
        <s v="ClearSight BABY ALOE VERA PH5.5 W 80 BAG"/>
        <s v="ClearSight BABY CALENDULA PH5.5 W 80 BAG"/>
        <s v="ClearSight BABY CHAMOMILE PH5.5 W 80 BAG"/>
        <s v="OKIDOKI  FreshClean CAMOMILLA 60 BAG"/>
        <s v="BABY WISH VITE&amp;PROVITAMINB5 W 120 BAG"/>
        <s v="COSMI BABY ARGAN W 20 BAG"/>
        <s v="AQUELLA BABY AMUR WITH CREAM W 120 BAG"/>
        <s v="AQUELLA BABY ULTRA SOFT CREAM W 120 BAG"/>
        <s v="AQUELLA TROPIC ALC.FREE W 120 BAG"/>
        <s v="AQUELLA KIDS BABY ALOEVERA&amp;CREAM W 60BAG"/>
        <s v="AQUELLA BABY VIT E&amp;PRO B5 W 72 BAG"/>
        <s v="AQUELLA KIDS BABY PH5.5 W 72 BAG"/>
        <s v="AQUELLA BABY VIT E&amp;PRO B5 W 90 BAG KAPAK"/>
        <s v="AURA ULTRA COMF. COTTON HYPOALL. W 100 B"/>
        <s v="AURA ULTRA COMFORT COTTON W 63 BAG"/>
        <s v="COTTON BABY UL.SOFT CREAM ALC.FREE W 120"/>
        <s v="COTTON BABY PH5.5 AL.FREE W 90 BAG KAPAK"/>
        <s v="MIMI NICE BABY PH5.5 W 15 BAG"/>
        <s v="MY COMFORT BABY ANGEL PH5.5 W 120 BAG"/>
        <s v="MY COMFORT BABY ARGAN ALK.FREE W 120 BAG"/>
        <s v="NICEBABY PROVITB5&amp;VITE PH5.5 W 120 BAG"/>
        <s v="WINEX BABY PH5.5 W 72 BAG"/>
        <s v="WINEX BABY PROVITB5&amp;VIT.F PH5.5 W 72 BAG"/>
        <s v="PADDLERS SOFT&amp;CREAM PROVITB5&amp;VITE W 120"/>
        <s v="PURE BABY JUMBO PH5.5 W 120 BAG"/>
        <s v="SLEEPY BABY SENSITIVE 110 W BAG KAPAK"/>
        <s v="SLEEPY BABY APPLE AL.FREE W 120 BAG"/>
        <s v="SLEEPY BABY LEMON AL.FREE W 120 BAG"/>
        <s v="SLEEPY BABY ORANGE AL.FREE W 120 BAG"/>
        <s v="SLEEPY BABY PH5.5 120 W BAG KAPAK"/>
        <s v="SLEEPY STRAWBERRY BABY AL.FREE 120 W BAG"/>
        <s v="SLEEPY BABY MIXED FRUIT PH5.5 15 W BAG"/>
        <s v="SLEEPY BABY PH5.5 70 W BAG"/>
        <s v="SLEEPY  FreshClean 90 W BAG KAPAK"/>
        <s v="YESS BABY ALC.FREE W 120 BAG"/>
        <s v="YESS BABY ALC.FREE W 15 BAG"/>
        <s v="ELAN SENS.CREAM LOTION W 120 BAG ZELENI"/>
        <s v="LAN SENS.CREAM LOTION 120 BAG LILAVI"/>
        <s v="SETABLU OAT EXTRACT PH5.5 W 72 BAG KAPAK"/>
        <s v="LIBERO ALOE ALC.FREE W 20 BAG"/>
        <s v="LIBERO ALOE&amp;CHAMOMILE W 20 BAG"/>
        <s v="LIBERO ALOE&amp;CHAMOMILE W 4X64 BAG"/>
        <s v="LIBERO ALOE&amp;CHAMOMILE W 64 BAG"/>
        <s v="EVY BABY SOFT CHAMOMILE ALC.FREE W50 BAG"/>
        <s v="EVY BABY SOFT CHAMOMILE EXTRACT W 56 BAG"/>
        <s v="EVY BABY CREAMY ALOE VERA MOIST W 60 BAG"/>
        <s v="EVY BABY SOFT CHAMOMILE EXTRACT W 60 BAG"/>
        <s v="FEMOLE FRESH VITE PH5.5 W 72 BAG CHERVEN"/>
        <s v="FEMOLE FRESHBABY VITE PH5.5 W 72 BAG SIN"/>
        <s v="BERFINY CLASSIC BABY W 72 BAG"/>
        <s v="BERFINY EXTRA BABY W 72 BAG"/>
        <s v="FRESH RUNY BABY PH5.5 ALC.FREE W 120 BAG"/>
        <s v="FRESH RUNY BABY MILK&amp;HONEY W 64 BAG"/>
        <s v="FRESH MAKER BABY PH5.5 W 120 BAG JUMBO"/>
        <s v="FRESH MAKER BABY CREAM W 120/48FREE BAG"/>
        <s v="FRESH MAKER BABY CREAM W 72 BAG"/>
        <s v="FRESH MAKER BABY CREAM W 72 BAG KAPAK"/>
        <s v="FRESH MAKER BABY CREAM W 96/24FREE BAG"/>
        <s v="FRESH MAKER BABY W 72 BAG"/>
        <s v="FRESH MAKER BABY WITH CREAM W 72 BAG"/>
        <s v="FRESH MAKER ALOE VERA PH5.5 W 90 BAG"/>
        <s v="FRESH MAKER SENSITIVE ALC.FREE W 90 BAG"/>
        <s v="HAPPY ALOE VERA W 100 BAG KAPAK"/>
        <s v="KIDS BABY WET WIPES W 72 BAG KAPACHE"/>
        <s v="LIO FRESH BABY CREAM LOTION W 72 BAG"/>
        <s v="NEMDIL BABY ROSE W 120 BAG KAPAK"/>
        <s v="NEMDIL BABY WITH CREAM W 120 BAG KAPAK"/>
        <s v="NEMDIL BABY ALCOHOL FREE W 72 BAG"/>
        <s v="NEMDIL BABY OLIVE OIL CAMOMILE W 72 BAG"/>
        <s v="NEMDIL BABYDELUXEALOE&amp;MIK&amp;HONEY W 72KAPA"/>
        <s v="PREMIUM QUALITY BABY W 72 BAG &amp;&amp;&amp;"/>
        <s v="PURE BABY LILIUM W 120 BAG KAPAK"/>
        <s v="NAPEEZBYGRACIA BABY PH5.5 100 BAG KAPAK"/>
        <s v="MIKE LINE SENSIT.CREAM LOTION W 72 BAG"/>
        <s v="PRIME TALKO SENSITIVE 63 BAG KAPAK"/>
        <s v="PRIME BABY ALC.FREE 72 BAG KAPAK"/>
        <s v="PONKY BABY W 72 BAG +KAPACHE"/>
        <s v="PONKY BABY WET TOWEL W 72 BAG ZHALTI"/>
        <s v="POZZY EXTRA MILK&amp;HONEY PH5.5 W 72 BAG"/>
        <s v="POZZY EXTRA OLIVE OIL ALC.FREE W 72 BAG"/>
        <s v="CLEANIC BABY ATOPICAL D-PANT. PH 50 BAG"/>
        <s v="CLEANIC BABY PROBIOTICAL HYPOAL.50 BAG"/>
        <s v="CLEANIC BABY VEGEMILK VIT&amp;MIN.50 BAG"/>
        <s v="PETINO DELICATO&amp;FRESH ALANTOIN 120 BAG"/>
        <s v="PETINO DELICATO&amp;FRESH ALANTOIN 84/12FR"/>
        <s v="MOLFIX BABY COTTON PH5.5 W 50 BAG HAYAT"/>
        <s v="MOLFIX BABY IZOT.WATER PANT.&amp;LAN.W 60 BA"/>
        <s v="MOLFIX BABY LOTION ISO.WATER W 3X60 BAG"/>
        <s v="MOLFIX BABY LOTION PH5.5 W 60 BAG HAYAT"/>
        <s v="MOLFIX BABY LOTION W 3X60 BAG HAYAT"/>
        <s v="MOLFIX BABY LOTION W 3X63 BAG HAYAT"/>
        <s v="MOLFIX BABY W 63 BAG HAYAT"/>
        <s v="HIMALAYA ALOE VERA&amp;INDIANLOTUS W 20 BAG"/>
        <s v="HIMALAYA SOOTHING&amp;PROTECTINGBABY W 20BAG"/>
        <s v="HIMALAYA ALOE VERA&amp;INDIANLOTUS W 56 BAG"/>
        <s v="HIMALAYA SOOTHING&amp;PROTECTINGBABY W 56BAG"/>
        <s v="HIPP BABY SANFT ALMOND PH5.5 W 10 BAG"/>
        <s v="HIPP BABY ULTRASENSITIVE MANDEL W 52 BAG"/>
        <s v="HIPP BABY ALMOND W 56 BAG"/>
        <s v="HIPP BABY GENTLE CARING W 56 BAG"/>
        <s v="HIPP BABY SANFT FEUCHT TUCHER W 56 BAG"/>
        <s v="HIPP BABYSANFT BIOMANDELEXT.W 2X56+POD."/>
        <s v="HIPP BABYSANFT BIOMANDELEXTR. W 2X56 BAG"/>
        <s v="HIPP BABYSANFT BIOMANDELEXTRACT W 56 BAG"/>
        <s v="BIONIKE TRIDERM BABY CLEANSING 72 BAG"/>
        <s v="WATERWIPES FRUITEXTR.99.9%WATER W 10 BAG"/>
        <s v="WATERWIPES FRUITEXTR.99.9%WATER W 240BAG"/>
        <s v="WATERWIPES FRUITEXTR.99.9%WATER W 28 BAG"/>
        <s v="WATERWIPES FRUITEXTR.99.9%WATER W 60 BAG"/>
        <s v="WATERWIPES SOAPBERRY99.9%WATER W 60 BAG"/>
        <s v="PAW PATROL  FreshClean 56 W BAG"/>
        <s v="PEPPA PIG BABY MUDDY PUDDLE 56 W BAG"/>
        <s v="JOHNSONS BABY GENTLE ALL OVER W 20 BAG"/>
        <s v="JOHNSONS BAB COT.TOU SEN.W56+BOD+SHG+IGR"/>
        <s v="JOHNSONS BABY COTTON TOUCH SENS.W 56 BAG"/>
        <s v="JOHNSONS BABY GENTLE ALL OVER W 3X56 BAG"/>
        <s v="JOHNSONS BABY SILK EXTRACT W 56 BAG"/>
        <s v="JOHNSONS BABY GENTLE ALL OVER W 72 BAG K"/>
        <s v="JOHNSONS BABY SENSITIVE ALC.FREE W 72 BA"/>
        <s v="MAIA BABY PURE&amp;SENSITIVE PH5.5 W 72 BAG"/>
        <s v="KRISPA BABY CAMOMILE W 15 BAG"/>
        <s v="FRESH'N SOFT WATER&amp;COTTON W 3X40 BAG"/>
        <s v="FRESH'N SOFT CLASSIC PH5.5 W 90 BAG"/>
        <s v="RENKLY JUMBO CHAMOMILE 120 W BAG KAPAK"/>
        <s v="RENKLY BABY ALC.FREE W 70 BAG"/>
        <s v="RENKLY BABY ALOE VERA 70 W BAG"/>
        <s v="RENKLI BABY ALC.FREE PH5.5 W 72 BAG KAPA"/>
        <s v="RENKLY BABY 72 W BAG"/>
        <s v="HUGGIES NATURAL CARE ALOE VERA W 56 BAG"/>
        <s v="HUGGIES PURE COTTON WOOL&amp;WATER 56 W BAG"/>
        <s v="HUGGIES SOFT SKIN VIT E 56 BAG"/>
        <s v="HUGGIES UNISTAR LINGETTES 56 W BAG"/>
        <s v="HUGGIES ALOE+VIT E W 64 BAG"/>
        <s v="HUGGIES BABY UNISTAR W 64 BAG"/>
        <s v="HUGGIES PURE 99% WATER 72 W BAG"/>
        <s v="KOMILI BABY SOFT ALC.FREE W 70 BAG"/>
        <s v="KOMILI BABY COTTON PH5.5 W 80 BAG"/>
        <s v="TANGO BABY SOFT VIT E ALC.FREE 72BR BAG"/>
        <s v="MUSTELA BEBE CLEANSING 25 W BAG"/>
        <s v="MUSTELA BEBE CLEANSING 25 W NP KAPAK"/>
        <s v="MUSTELA BEBE STELATOPIA W 50 BAG KAPAK"/>
        <s v="MUSTELABEBE STELATOPIAW50KAP+BOD+BOD+BOD"/>
        <s v="MUSTELA BEBE CLEANSING 60 W BAG"/>
        <s v="MUSTELA BEBE CLEANSING AVOCADO 70 W BAG"/>
        <s v="MUSTELA BEBE CLEANSING W 70 BAG KAPAK"/>
        <s v="MUSTELA BEBE SOOTHING ALOE VERA 70 W BAG"/>
        <s v="LANSINOH BABY ALC.FREE W 80 BAG KAPAK"/>
        <s v="LARA BABY SOFT ALOE VERA W 100 BAG KAPAK"/>
        <s v="LARA BABY SOFT CAMOMILE W 100 BAG KAPAK"/>
        <s v="LARA BABY SOFT GERBERA DAISY W 100 BAG"/>
        <s v="LARA BABY SOFT LAVENDER W 100 BAG KAPAK"/>
        <s v="LARA BABY SOFT WILD ROSE W 100 BAG KAPAK"/>
        <s v="LARA BABYSOFT LEMON&amp;GRAPEFRUIT W 100 BAG"/>
        <s v="LARA BABY SOFT ALOE VERA W 120 BAG KAPAK"/>
        <s v="LARA BABY SOFT CAMOMILE BREEZE W 120 BAG"/>
        <s v="LARA BABY SOFT CAMOMILE W 120 BAG KAPAK"/>
        <s v="LARA BABY SOFT GERBER W 120 BAG KAPAK"/>
        <s v="LARA BABY SOFT LAVENDER W 120 BAG KAPAK"/>
        <s v="LARA BABY SOFT WILD ROSE W 120 BAG KAPAK"/>
        <s v="LARA BABYSOFT LEMON&amp;GRAPEFRUIT W 120 BAG"/>
        <s v="LARA BABYSOFT PREMIUM ALC.FREE W 120 BAG"/>
        <s v="LARA BABY SOFT&amp;FRESH PH5.5 W 20 BAG"/>
        <s v="LARA BABY SOFT ALOE VERA W 40 BAG"/>
        <s v="LARA BABY SOFT VIT E&amp;PRO VIT B5 W 40 BAG"/>
        <s v="LARA CARE BABY 99%WATER PREBIOTIC W 60"/>
        <s v="LARA BABY FRESH W 72 BAG/KAPACHE"/>
        <s v="LARA BABY SENSITIVE PH5.5 W 72 BAG"/>
        <s v="LARA BABY SOFT CAMOMILE W 72 BAG/KAPACHE"/>
        <s v="LARA BABY SOFT PH5.5 W 72 BAG"/>
        <s v="LARA BABY SOFT PH5.5 W 72 BAG KAPAK"/>
        <s v="LARA BABY SOFT VIT E&amp;PRO VIT B5 W 72 BAG"/>
        <s v="LARA BABY SOFT&amp;FRESH W 72 BAG"/>
        <s v="LARA BABY SPECIAL FORMULA VIT E W 72 BAG"/>
        <s v="LARA BABY SOFT ALOE VERA W 80 BAG KAPAK"/>
        <s v="LARA BABY SOFT WILD ROSE W 80 BAG KAPAK"/>
        <s v="LARA BABYSOFT CAMOMILEBREEZ.W 80 BAG KAP"/>
        <s v="LARA BABY SOFT EXTRA W 96 BAG/KAPACHE"/>
        <s v="PUFY FRESH GERBERA PH5.5 W 120 BAG"/>
        <s v="TOP BLITZ CREAM VIT E W 72 BAG"/>
        <s v="CONFY BABY PH5.5 W 40 BAG"/>
        <s v="CONFY BABY SENSITIVE W 90 BAG"/>
        <s v="CONFY BABY SENSITIVE W 90 BAG PINK"/>
        <s v="MIMOSA BABY ALOE VERA 64 BAG"/>
        <s v="MIMOSA BABY CHAMOMILE 64 BAG"/>
        <s v="MIMOSA BABY PH5.5 72 BAG KAPAK"/>
        <s v="SENCE BABY SENSITIVE PH5.5 W 60 BAG"/>
        <s v="BABY CARE CHAMOMILE 4X12/2FR BAG"/>
        <s v="BABY CARE CHAMOMILE W 12 BAG"/>
        <s v="BABY CARE CHAMOMILE W 3X12/1FR BAG"/>
        <s v="BABY CARE TRAVEL CHAMOMILE 20 BAG"/>
        <s v="BABY CARE CLAMING PURE WATER 63 BAG"/>
        <s v="BABY CARE PURE COTTON EXTRACT 63 BAG"/>
        <s v="BABY CARE SENSITIVE OLIVE EXTRACT 63 BAG"/>
        <s v="BABY CARE TRAVEL CHAMOMILE 72 BAG RE"/>
        <s v="BABY LINO SENSITIVE CHAMOMILE W 54 BAG"/>
        <s v="BABYLINO SENSITIVE ARNIKACHAMOMILE W 54"/>
        <s v="BABYLINO SENSITIVE CHAMOMILE W 54+10 BAG"/>
        <s v="BABYLINO SENSITIVE CHAMOMILE W 54+WIP 10"/>
        <s v="L'UNICO BABY OLIO DI ARGAN HYPO.W 72 BAG"/>
        <s v="BIG SOFT SENSITIVE WITH CREAM 100 BAG"/>
        <s v="BIGSOFT SENSITIVEWITHCREAM 100 BAG KAPAK"/>
        <s v="BIG SOFT CREAM SENS.PH5.5 W 120 BAG"/>
        <s v="BIG SOFT SENSITIVE OLIVE OIL ALOE 70 BAG"/>
        <s v="HAPPY FAMILY BABY PH5.5 W 70 BAG"/>
        <s v="MORS CHAMOMILE PH5.5 W 120 BAG KAPAK"/>
        <s v="WIPEST COMFORT ALC.FREE W 120 BAG KAPAK"/>
        <s v="WIPEST COMFORT ALC.FREE W 72 BAG KAPAK"/>
        <s v="NATY SENSITIVE ALOE VERA W 56 BAG"/>
        <s v="NATY SENSITIVE W 56 BAG NATY AB"/>
        <s v="FRESH BABY PREMIUM ALC.FREE W 100 BAG"/>
        <s v="FRESH BABY PH5.5 W 15 BAG"/>
        <s v="FRESH BABY WATER 99.9% W 60 BAG"/>
        <s v="FRESH BABY P H5.5 W 72 BAG"/>
        <s v="FRESH BABY PH5.5 W 72 BAG KAPAK"/>
        <s v="GOLDEN SENSITIVE W 120 BAG"/>
        <s v="GOLDEN SENSITIVE W 72 BAG"/>
        <s v="MY FIX BABY ROSE FRESH W 80 BAG KAPAK"/>
        <s v="PUFFY BABY SENSITIVE PURE W 88 BAG KAPAK"/>
        <s v="TITO BABY SOFT COMFORT PH5.5 W 120 BAG"/>
        <s v="TITO BABY PH5.5 ALC.FREE W 72 BAG KAPAK"/>
        <s v="TITO BABY SOFT COMFORT PH5.5 W 72 BAG"/>
        <s v="FRESH BABY PREM.QUALITY PH5.5 W 120 BAG"/>
        <s v="PUFY BABY CHAMOMILE PH5.5 W 120 BAG"/>
        <s v="SPEEDYCARE BABYLINECONCREMAMAXI 20 BAG"/>
        <s v="CAN BEBE BASIC CARE ALK.FREE W 56 BAG"/>
        <s v="KOPRINA  FreshClean 72 W BAG KAPAK"/>
        <s v="BEBIKO VIP BABY ALOE VERA W 72 BAG KAPAK"/>
        <s v="PAPATYA BABY B5&amp;VIT E PH5.5 90 W BAG"/>
        <s v="PERFETTO PH5.5 ALC.FREE W 80 BAG"/>
        <s v="BETTY BABY ALC.FREE W 24 BAG"/>
        <s v="BETTY BABY ALC.FREE W 72 BAG"/>
        <s v="KLORANE BEBE CALENDULA ALC.FREE W 25 BAG"/>
        <s v="KLORANE BEBE CALENDULA CLEAN.LOTION W 70"/>
        <s v="KLORANE BEBE CALENDULA THICKCL. W 70 BAG"/>
        <s v="KLORANE BEBE CALENDULA W 70 SP.TS. BAG"/>
        <s v="FRESH BABY ALOE&amp;CALEN. PH5.5 W 60 BAG"/>
        <s v="FRESH BABY AQUA PURE PH5.5 W 60 BAG"/>
        <s v="FRESH BABY CARE ALOE VERA W 60 BAG"/>
        <s v="FRESH BABY SOFT CREAM W 60 BAG"/>
        <s v="SLIPP BEBE SENS.LOTION&amp;VITE&amp;B5 W 120 BAG"/>
        <s v="MELANI BABY ALOEVERA&amp;VITE W 64 BAG KAPAK"/>
        <s v="PAMPERS AQUA PURE ALC.FREE 12 BAG+DIA"/>
        <s v="PAMPERS AQUA PURE ALC.FREE 12 BAG+DIA28"/>
        <s v="PAMPERS AQUA PURE ALC.FREE 12 BAG+DIA50"/>
        <s v="PAMPERS SENSITIVE ALC.FREE 12 BAG"/>
        <s v="PAMPERS SENSITIVE PH5.5 12 BAG"/>
        <s v="PAMPERS BABY FRESH 24 BAG"/>
        <s v="PAMPERS SOLE E LUNA CAMOMILLA 50/25%BAG"/>
        <s v="PAMPERS AQUA HARMONIE 99%WATER 3X48 BAG"/>
        <s v="PAMPERS AQUA HARMONIE 99%WATER AL.FR.48"/>
        <s v="PAMPERS AQUA PURE ALC.FREE 3X48 BAG"/>
        <s v="PAMPERS AQUA PURE ALC.FREE 48 BAG"/>
        <s v="PAMPERS BABY FRESH CLEAN W 2X52 BAG"/>
        <s v="PAMPERS BABY FRESH CLEAN W 4X52 BAG"/>
        <s v="PAMPERS BABY FRESH CLEAN W 52 BAG"/>
        <s v="PAMPERS BABY FRESH CLEAN W 52 BAG+DIA 38"/>
        <s v="PAMPERS BABY FRESH CLEAN W 52 BAG+DIA 40"/>
        <s v="PAMPERS BABY FRESH CLEAN W 52 BAG+DIA 42"/>
        <s v="PAMPERS BABY FRESH CLEAN W 52 BAG+DIA 44"/>
        <s v="PAMPERS BABY FRESH CLEAN W 52 BAG+DIA 51"/>
        <s v="PAMPERS BABY FRESH CLEAN W 52 BAG+DIA 52"/>
        <s v="PAMPERS BABY FRESH CLEAN W 52 BAG+DIA 53"/>
        <s v="PAMPERS BABY FRESH CLEAN W 52 BAG+DIA 54"/>
        <s v="PAMPERS BABY FRESH CLEAN W 52 BAG+DIA 58"/>
        <s v="PAMPERS BABY FRESH CLEAN W 52 BAG+DIA 60"/>
        <s v="PAMPERS BABY FRESH CLEAN W 52 BAG+DIA 66"/>
        <s v="PAMPERS BABY FRESH CLEAN W 52 BAG+DIA 68"/>
        <s v="PAMPERS BABY FRESH CLEAN W 52 BAG+DIA 76"/>
        <s v="PAMPERS BABY FRESH CLEAN W 52 BAG+DIA 78"/>
        <s v="PAMPERS BABY FRESH CLEAN W 52 BAG+DIA 90"/>
        <s v="PAMPERS BABY FRESH CLEAN W 52 BAG+DIA104"/>
        <s v="PAMPERS BABY FRESH CLEAN W 52 BAG+DIA50"/>
        <s v="PAMPERS BABY FRESH CLEAN W 52+DIA PANT38"/>
        <s v="PAMPERS BABY FRESH CLEAN W 6X52 BAG"/>
        <s v="PAMPERS BABY FRESH CLEAN W52+DIA ACT6 44"/>
        <s v="PAMPERS BABY FRESH CLEAN W52+DIA PANTS60"/>
        <s v="PAMPERS SENSITIVE PH5.5 2X52 BAG"/>
        <s v="PAMPERS SENSITIVE PH5.5 4X52 BAG"/>
        <s v="PAMPERS SENSITIVE PH5.5 52 BAG"/>
        <s v="PAMPERS SENSITIVE PH5.5 6X52 BAG"/>
        <s v="PAMPERS SENSITIVE 54 BAG KAPAK"/>
        <s v="PAMPERS SENSITIVE 2X56 BAG"/>
        <s v="PAMPERS SENSITIVE 4X56 BAG"/>
        <s v="PAMPERS SENSITIVE 56 BAG"/>
        <s v="PAMPERS SENSITIVE 56 BAG KAPAK"/>
        <s v="PAMPERS SENSITIVE 56 BAG+DIA PANTS3 60"/>
        <s v="PAMPERS SENSITIVE 56 BAG+DIA PANTS4 52"/>
        <s v="PAMPERS SENSITIVE 56 BAG+DIA PANTS5 48 1"/>
        <s v="PAMPERS SENSITIVE 56 BAG+DIA PR CARE54"/>
        <s v="PAMPERS SENSITIVE 56 BAG+DIAPREMCARE3 60"/>
        <s v="PAMPERS SENSITIVE 56 BAG+DIAPREMCARE5 44"/>
        <s v="PAMPERS SENSITIVE 6X56/2BR FREE BAG"/>
        <s v="PAMPERS SENSITIVE CAMOMILE&amp;ALOE 56 BAG"/>
        <s v="PAMPERS SENSITIVE SOFTLIKECOTTON 56 BAG"/>
        <s v="PAMPERS SENSITIVE W 6X56/336 BAG"/>
        <s v="PAMPERS SENSITIVE XXL W 6X56/2BR FR BAG"/>
        <s v="PAMPERS BABY FRESH ALOE W 64 BAG"/>
        <s v="PAMPERS BABY FRESH CLEAN W 4X64 BAG"/>
        <s v="PAMPERS BABY FRESH CLEAN W 64 BAG"/>
        <s v="PAMPERS BABY FRESH CLEAN W 64 BAG+DIA 42"/>
        <s v="PAMPERS BABY FRESH CLEAN W 64 BAG+DIA68"/>
        <s v="PAMPERS BABY FRESH CLEAN W 6X64/384 BAG"/>
        <s v="PAMPERS BABY FRESH ECONOMY W 2X64 BAG"/>
        <s v="PAMPERS BABYFRESHCLEAN ALOE W 6X64/2BRFR"/>
        <s v="PAMPERS BABYFRESHCLEAN W 3X64/1FREE BAG"/>
        <s v="PAMPERS CLEAN&amp;PLAY 64 BAG"/>
        <s v="PAMPERS NATURAL CLEAN W 64 BAG KAPAK"/>
        <s v="PAMPERS NATURALCLEAN FRAGR.FREE W 64 BAG"/>
        <s v="PAMPERS NATURALLY CLEAN W 4X64 BAG"/>
        <s v="PAMPERS NATURALLY CLEAN+CHAMOMILE W 2X64"/>
        <s v="PAMPERS BABY FRESH CLEAN XXL W 80 BAG"/>
        <s v="PAMPERS SENSITIVE PH5.5 XXL 80 BAG"/>
        <s v="PAMPERS HARMONIE COCO AL.FREE 3X42 BAG"/>
        <s v="PAMPERS HARMONIE COCO AL.FREE 42 BAG"/>
        <s v="PAMPERS PURE COCONUT AL.FREE 3X42 BAG"/>
        <s v="PAMPERS PURE COCONUT AL.FREE 42 BAG"/>
        <s v="PAMPERS 72 R BAG"/>
        <s v="PAMPERS SENSITIVE 56 BOX"/>
        <s v="PRIMA HASSAS CILTLER W 56 BAG"/>
        <s v="PRIMA  FreshClean ALOE W 64 BAG"/>
        <s v="URIAGE BEBE HYPOALERGENIC W 2X70/1FR BAG"/>
        <s v="URIAGE BEBE HYPOALERGENIC W 70 BAG"/>
        <s v="BIMBO&amp;BIMBA CHAMOMILE&amp;ALOE W 80 BAG"/>
        <s v="BIMBO&amp;BIMBA CHAMOMILE&amp;CALENDULA W 80 BAG"/>
        <s v="BIMBO&amp;BIMBA CHAMOMILE&amp;LAVENDER W 80 BAG"/>
        <s v="BIMBO&amp;BIMBA CHAMOMILE&amp;SMRADLIKA W 80 BAG"/>
        <s v="VIBELLE BABY RASPBERRY VIT E PH5.5 W 144"/>
        <s v="VIBELLE BABY ULTRA SENS.ROSE PH5.5 W 144"/>
        <s v="BELUX BABY SENS.CREAM LOTION W 120 BAG"/>
        <s v="BELUX ULTRA SENSITIVE W 120/48GRATIS BAG"/>
        <s v="SECKIN PROVITB5 PH5.5 ALC.FREE W 102 BAG"/>
        <s v="SOFT CARE COTTON VIT ECHAMOMILE W 72 BAG"/>
        <s v="HOPS P H5.5 W 90/18BONUS ORANJEVI BAG"/>
        <s v="DOCTOR WIPES BABY GRAPES W 60 BAG KAPAK"/>
        <s v="DOCTOR WIPES BABY W 72 BAG &amp;&amp;&amp;"/>
        <s v="MEDPROFESSIONAL BABYPOWDERARGANOIL W 24"/>
        <s v="MED PROFESSIONAL BABY ALOE VERA W 60 BAG"/>
        <s v="MEDPROFESSIONAL BABYGRAPESEEDOIL W 60BAG"/>
        <s v="SPRING LINE  FreshClean W 120 BAG &amp;&amp;&amp;"/>
        <s v="GIAN BABY CREAM PH5.5 W 120 BAG"/>
        <s v="GIAN BABY CREAM PH5.5 W 72 BAG"/>
        <s v="SEBAMED BABYCLEANSING EXTRASOFT W 72 BAG"/>
        <s v="SEBAMED BABY OIL WIPES W 70 BOX"/>
        <s v="MAMMI PH5.5 ALC.FREE W 72 BAG SINI"/>
        <s v="MAMMI PH5.5 ALC.FREE W 72 BAG ZELENI"/>
        <s v="ASALI BABY ULTRA SOFT VIT.E W 120 BAG"/>
        <s v="COTTON SOFT CHAMOMILE ALC.FREE W 100 BAG"/>
        <s v="COTTON SOFT PH5.5 W 120 BAG KAPAK"/>
        <s v="COTTON SOFT PH5.5 W 72 BAG KAPAK"/>
        <s v="COTTON SOFT W 72 BAG"/>
        <s v="ELVIM BABY JUMBO SENSITIVE W 120 BAG"/>
        <s v="ELVIM ULTRA SENSITIVE VIT E&amp;B5 W 70 BAG"/>
        <s v="ELVIM BABY ULTRASENSITIVE LOTION&amp;VITE 72"/>
        <s v="ELVIM BABY ULTRASENSITIVE LOTION&amp;VITE 90"/>
        <s v="FLAMINGO BABY ULTRASENS.LOTION&amp;VITE 70 B"/>
        <s v="INCI FRESH VITE&amp;PROVITB5 ALC.FREE W 100"/>
        <s v="INCI FRESH VITE&amp;PROVITB5 PH5.5 W 120 BAG"/>
        <s v="INCI FRESH ULTRASOFT VITE&amp;PROVITB5 W 144"/>
        <s v="INCI FRESH VITE&amp;PROVITB5 PH5.5 W 60 BAG"/>
        <s v="INCI FRESH VITE&amp;PROVITB5 PH5.5 W 72 BAG"/>
        <s v="INCI FRESH VITE&amp;PROVITB5 PH5.5 W 90/18FR"/>
        <s v="SEPTONA CALM NCARE CHAMOM BABY 12 W BAG"/>
        <s v="SEPTONA ALOE VERA BABY ALC.FREE 20 BAG"/>
        <s v="SEPTONA CHAMOMILE BABY 20 W BAG"/>
        <s v="SEPTONA SENSITIVE ALMOND&amp;MILK W 20 BAG"/>
        <s v="SEPTONA SENSITIVE CALMN CARE W 54 BAG"/>
        <s v="SEPTONA CALM NCARE PANTENOL W 57 BAG"/>
        <s v="SEPTONA ALOE VERA BABY 64 BAG"/>
        <s v="SEPTONA CHAMOMILE BABY 3X64/1GR W BAG"/>
        <s v="SEPTONA CHAMOMILE BABY 64 W BAG"/>
        <s v="SEPTONA CHAMOMILE BABY 64 W BAG KAPAK"/>
        <s v="SEPTONA SENSITIVE ALMOND&amp;MILK W 64 BAG"/>
        <s v="SEPTONA SENSITIVE CALMN CARE W 64 BAG"/>
        <s v="SEPTONA MILD FRAGANCE ALC.FREE W 72 BAG"/>
        <s v="SEPTONA CALM NCARE PANTENOL W 75 BAG"/>
        <s v="SEPTONA CALMN CARE ALOE VERA W 80 BAG"/>
        <s v="IASSMIN BABY CREAM PH5.5 W 72 BAG"/>
        <s v="JUNIOR&amp;TOMMY SENSITIVE W 120 BAG KAPAK"/>
        <s v="NIKI BABY ALC.FREE W 130/10FR BAG KAPAK"/>
        <s v="PEPINO BABY P H5.5 W 120/20FREE BAG"/>
        <s v="PEPINO BABY P H5.5 W 130/10FREE BAG"/>
        <s v="PEPINO BABY SOFT&amp;LUX P H5.5 W 70 BAG"/>
        <s v="RENKLI MAGIC P H5.5 W 120 BAG KAPAK"/>
        <s v="RENKLI PREMIUM BABY ALC.FREE W 130 BAG"/>
        <s v="RENKLI BABY KIDS P H5.5 W 72 BAG"/>
        <s v="RENKLI BABY KIDS P H5.5 W 72 BAG KAPAK"/>
        <s v="RENKLI ZOO ANTIBACTERIAL W 72 BAG KAPAK"/>
        <s v="RENKLI BABY LUX PH5.5 W 2X80 BAG"/>
        <s v="RENKLI BABY LUX W 80 BAG KAPACHE"/>
        <s v="SWEET BABY ALOEVERA PH5.5 W 72 BAG KAPAK"/>
        <s v="FARMACOTONE BEBE CALENDULA SENS. 60 BAG"/>
        <s v="FARMACOTONE BIO ALOE&amp;ALMOND PH5.5 72 BAG"/>
        <s v="VOI MULTI VITAMINS PH5.5 W 100 BAG SINI"/>
        <s v="VOI CREAM LOTION PH5.5 W 120 BAG KAPAK"/>
        <s v="VOI CHAMOMILE PH5.5 W 72 BAG KAPAK"/>
        <s v="VOI CREAM LOTION PH5.5 W 72 BAG KAPAK"/>
        <s v="TOVA  FreshClean PH5.5 W 120 BAG"/>
        <s v="ALVESTA BABY PH5.5 W 120 BAG KAPAK"/>
        <s v="ALVESTA BABY PH5.5 W 72 BAG KAPAK"/>
        <s v="MIS MAK CLEANSE&amp;REFRESH PH5.5 W 72 BAG"/>
        <s v="BIVY BABY NEWBORN W 60 BAG KAPAK"/>
        <s v="BIVY SOFT&amp;FRESH PROVITB5&amp;VITE W 72 BAG"/>
        <s v="DAISY BABY WET WIPES W 120 BAG"/>
        <s v="BEBECAN PH5.5 W 72 BAG TNCR GIDA KAPAK"/>
        <s v="HUGO BABY ALC.FREE W 120 BAG"/>
        <s v="PROSOFT VITE&amp;PROVITB5 W 72 BAG CHERVENI"/>
        <s v="PROSOFT VITE&amp;PROVITB5 W 72 BAG ZELENI"/>
        <s v="UNAC BABY LOTION&amp;VIT.E AL.FREE W 120 BAG"/>
        <s v="DOVE BABY RICHMOISTURE ALC.FREE W 50 BAG"/>
        <s v="DOVE BABY SENSITIVE MOISTURE W 50 BAG"/>
        <s v="BEBECAN BABY PH5.5 W 72 BAG YESIL"/>
        <m/>
      </sharedItems>
    </cacheField>
    <cacheField name="Manufacturer" numFmtId="0">
      <sharedItems containsBlank="1" count="99">
        <s v=" Nova Garbagnate"/>
        <s v=" BeneCare"/>
        <s v=" VigaLife"/>
        <s v=" Intelligent Initiative"/>
        <s v=" BroadLeaf Group"/>
        <s v=" ArborChemistry"/>
        <s v=" ArkPapers"/>
        <s v=" Arkana PaperCraft"/>
        <s v=" Fragrantium S.A."/>
        <s v=" ArsenicChem"/>
        <s v=" Creativa Worldwide"/>
        <s v=" CultureSana"/>
        <s v=" Ataman Industries"/>
        <s v=" AxisOn Group"/>
        <s v=" PureAim Cleaners"/>
        <s v=" AlpineMeadow"/>
        <s v=" BioRealm Corp"/>
        <s v=" TradeKing Cengiz"/>
        <s v=" ClearSight"/>
        <s v=" CodeInt B.V."/>
        <s v=" ChillClean"/>
        <s v=" Cosmopolitan Italy"/>
        <s v=" CottonUnion"/>
        <s v=" EnkaHygiene"/>
        <s v=" ErusHealth Products"/>
        <s v=" Esburg Health"/>
        <s v=" SCProducts"/>
        <s v=" EssentialsCo"/>
        <s v=" EveCraft"/>
        <s v=" FemmeBeauty"/>
        <s v=" Fulya Beauty"/>
        <s v=" Grace Corp"/>
        <s v=" SouthernGroup SP"/>
        <s v=" AvellinoGroup SRL"/>
        <s v=" RoseBeauty"/>
        <s v=" CleanHarper"/>
        <s v=" LifeChem"/>
        <s v=" MountainMedicine"/>
        <s v=" Swift GMBH"/>
        <s v=" InsideGlobal"/>
        <s v=" CelticWind Ltd"/>
        <s v=" JellyHealth"/>
        <s v=" Thomson &amp; Thomson"/>
        <s v=" KalesCo"/>
        <s v=" CapPlus"/>
        <s v=" BrothersFlyProducts SAN A.S."/>
        <s v=" Snowball Cologne"/>
        <s v=" Kimberly Stone"/>
        <s v=" OliveTree S.A."/>
        <s v=" CosmicChem"/>
        <s v=" LabExpand"/>
        <s v=" LansinLab Inc"/>
        <s v=" Lara Beauty"/>
        <s v=" LeaderHealthFood"/>
        <s v=" GlobalMap"/>
        <s v=" PrimeBrands Marketing B.V."/>
        <s v=" Giga S.A."/>
        <s v=" MontraWorld"/>
        <s v=" Moratex Group / Tobi MegaGroup LTD"/>
        <s v=" MoreBeauty"/>
        <s v=" NaturalCo AB"/>
        <s v=" Voyage Turkey"/>
        <s v=" Nur Food Industry"/>
        <s v=" O-Package S.R.L."/>
        <s v=" OnTop"/>
        <s v=" CrescentTextile SAN"/>
        <s v=" PakChem"/>
        <s v=" Daisy Cotton Cosmetics"/>
        <s v=" IdealGroup"/>
        <s v=" PhoenixMedicine DOO"/>
        <s v=" FabreStone"/>
        <s v=" Pyramid72 DOO"/>
        <s v=" PreDone"/>
        <s v=" ProStart 97"/>
        <s v=" Proctor &amp; Wager"/>
        <s v=" PuigPeak"/>
        <s v=" QueenTrade LTD"/>
        <s v=" ColorSan"/>
        <s v=" SanHealth LTD"/>
        <s v=" SaproClean"/>
        <s v=" EuroPack Communications SRL"/>
        <s v=" SigmaKappaZeta Co."/>
        <s v=" SebaMedicines"/>
        <s v=" SignalTrade"/>
        <s v=" SepaTextiles"/>
        <s v=" SeptOn SA"/>
        <s v=" LovelyCo"/>
        <s v=" Quake S.P.A."/>
        <s v=" HappyBeauty A.S."/>
        <s v=" QueenStand Investment"/>
        <s v=" BladeSon LTD"/>
        <s v=" TahaChem Cosmetics"/>
        <s v=" TextileSan"/>
        <s v=" FoodTNCR"/>
        <s v=" TroyBeauty Trade"/>
        <s v=" Unac Beauty Makers SAN."/>
        <s v=" UniHandle"/>
        <s v=" GreenIlgaz Group"/>
        <m/>
      </sharedItems>
    </cacheField>
    <cacheField name="Brand" numFmtId="0">
      <sharedItems containsBlank="1" count="141">
        <s v="BABY2000"/>
        <s v="BAMBO NATURE"/>
        <s v="BABY CREMA "/>
        <s v="LINDY "/>
        <s v="LUBA BABY"/>
        <s v="HUGGLO "/>
        <s v="PAPILION "/>
        <s v="PINE "/>
        <s v="TROMPY "/>
        <s v="HAPPY FRESH "/>
        <s v="ULTRA COMPACT "/>
        <s v="KANZ"/>
        <s v="CHICCO "/>
        <s v="UNI "/>
        <s v="EVENT BABY"/>
        <s v="TEX BABY"/>
        <s v="NIVEA BABY"/>
        <s v="SMILE "/>
        <s v="BABYCARE"/>
        <s v="CLEAR SIGHT"/>
        <s v="OKIDOKI "/>
        <s v="BABY WISH "/>
        <s v="COSMI"/>
        <s v="AQUELLA "/>
        <s v="AURA "/>
        <s v="COTTON BABY "/>
        <s v="MIMI NICE"/>
        <s v="MY COMFORT "/>
        <s v="NICE BABY "/>
        <s v="WINEX "/>
        <s v="PADDLERS "/>
        <s v="PURE BABY"/>
        <s v="SLEEPY BABY"/>
        <s v="YESS BABY "/>
        <s v="ELAN "/>
        <s v="SETABLU "/>
        <s v="LIBERO "/>
        <s v="EVY BABY "/>
        <s v="FEMOLE "/>
        <s v="BERFINY "/>
        <s v="FRESH RUNY "/>
        <s v="FRESH MAKER"/>
        <s v="HAPPY ALOE VERA"/>
        <s v="KIDS BABY"/>
        <s v="LIO FRESH "/>
        <s v="NEMDIL "/>
        <s v="PREMIUM QUALITY BABY"/>
        <s v="NAPEEZ BY GRACIA "/>
        <s v="MIKE LINE "/>
        <s v="PRIME TALKO"/>
        <s v="PONKY "/>
        <s v="POZZY "/>
        <s v="CLEANIC "/>
        <s v="PETINO "/>
        <s v="MOLFIX "/>
        <s v="HIMALAYA "/>
        <s v="HIPP BABYSANFT"/>
        <s v="BIONIKE "/>
        <s v="WATER WIPES "/>
        <s v="PAW PATROL "/>
        <s v="PEPPA PIG "/>
        <s v="JOHNSONS "/>
        <s v="MAIA "/>
        <s v="KRISPA "/>
        <s v="FRESH'N SOFT"/>
        <s v="RENKLY"/>
        <s v="HUGGIES "/>
        <s v="KOMILI "/>
        <s v="TANGO "/>
        <s v="MUSTELA "/>
        <s v="LANSINOH "/>
        <s v="LARA BABY"/>
        <s v="PUFY "/>
        <s v="TOP BLITZ "/>
        <s v="CONFY "/>
        <s v="MIMOSA "/>
        <s v="SENCE BABY"/>
        <s v="BABY CARE "/>
        <s v="BABY LINO"/>
        <s v="L'UNICO "/>
        <s v="BIG SOFT "/>
        <s v="HAPPY FAMILY"/>
        <s v="MORS "/>
        <s v="WIPEST "/>
        <s v="NATY "/>
        <s v="FRESH BABY "/>
        <s v="GOLDEN "/>
        <s v="MY FIX "/>
        <s v="PUFFY "/>
        <s v="TITO "/>
        <s v="PUFY BABY"/>
        <s v="SPEEDY CARE "/>
        <s v="CAN BEBE "/>
        <s v="KOPRINA "/>
        <s v="BEBIKO "/>
        <s v="PAPATYA "/>
        <s v="PERFETTO "/>
        <s v="BETTY "/>
        <s v="KLORANE "/>
        <s v="SLIPP "/>
        <s v="MELANI "/>
        <s v="PAMPERS"/>
        <s v="PRIMA "/>
        <s v="URIAGE "/>
        <s v="BIMBO &amp; BIMBA "/>
        <s v="VIBELLE "/>
        <s v="BELUX "/>
        <s v="SECKIN "/>
        <s v="SOFT CARE "/>
        <s v="HOPS "/>
        <s v="DOCTOR WIPES"/>
        <s v="MEDPROFFESIONAL "/>
        <s v="SPRING LINE "/>
        <s v="GIAN "/>
        <s v="SEBAMED "/>
        <s v="MAMMI "/>
        <s v="ASALI "/>
        <s v="COTTON SOFT "/>
        <s v="ELVIM "/>
        <s v="FLAMINGO "/>
        <s v="INCI FRESH"/>
        <s v="SEPTONA "/>
        <s v="IASSMIN "/>
        <s v="JUNIOR &amp; TOMMY "/>
        <s v="NIKI "/>
        <s v="PEPINO "/>
        <s v="RENKLI "/>
        <s v="SWEET  BABY"/>
        <s v="FARMACOTONE "/>
        <s v="VOI "/>
        <s v="TOVA "/>
        <s v="ALVESTA "/>
        <s v="MIS MAK "/>
        <s v="BIVY"/>
        <s v="DAISY "/>
        <s v="BEBECAN "/>
        <s v="HUGO BABY "/>
        <s v="PROSOFT "/>
        <s v="UNAC "/>
        <s v="DOVE "/>
        <m/>
      </sharedItems>
    </cacheField>
    <cacheField name="Package" numFmtId="0">
      <sharedItems containsBlank="1" count="3">
        <s v="BAGS"/>
        <s v="BOX"/>
        <m/>
      </sharedItems>
    </cacheField>
    <cacheField name="Product Attributes" numFmtId="0">
      <sharedItems containsBlank="1" count="7">
        <s v="WITHOUT EXTRA PROTECTCARE INDICATION"/>
        <s v="PH BALANCED"/>
        <s v="ALCOHOL FREE"/>
        <s v="SENSITIVE"/>
        <s v="HYPOALLERGENIC"/>
        <s v="ALCOHOL FREE &amp; HYPOALLERGENIC"/>
        <m/>
      </sharedItems>
    </cacheField>
    <cacheField name="Size" numFmtId="0">
      <sharedItems containsString="0" containsBlank="1" containsNumber="1" containsInteger="1" minValue="10" maxValue="240" count="37">
        <n v="20"/>
        <n v="80"/>
        <n v="100"/>
        <n v="120"/>
        <n v="15"/>
        <n v="40"/>
        <n v="56"/>
        <n v="64"/>
        <n v="72"/>
        <n v="90"/>
        <n v="50"/>
        <n v="60"/>
        <n v="140"/>
        <n v="25"/>
        <n v="30"/>
        <n v="63"/>
        <n v="66"/>
        <n v="110"/>
        <n v="70"/>
        <n v="10"/>
        <n v="52"/>
        <n v="240"/>
        <n v="28"/>
        <n v="96"/>
        <n v="12"/>
        <n v="54"/>
        <n v="88"/>
        <n v="24"/>
        <n v="37"/>
        <n v="48"/>
        <n v="42"/>
        <n v="144"/>
        <n v="102"/>
        <n v="57"/>
        <n v="75"/>
        <n v="130"/>
        <m/>
      </sharedItems>
    </cacheField>
    <cacheField name="2022 Value" numFmtId="0">
      <sharedItems containsString="0" containsBlank="1" containsNumber="1" minValue="0" maxValue="1663.8369"/>
    </cacheField>
    <cacheField name="2023 Value" numFmtId="0">
      <sharedItems containsString="0" containsBlank="1" containsNumber="1" minValue="0" maxValue="1815.6596999999999"/>
    </cacheField>
    <cacheField name="YTD 24 Value" numFmtId="0">
      <sharedItems containsString="0" containsBlank="1" containsNumber="1" minValue="0" maxValue="1049.2485999999999"/>
    </cacheField>
    <cacheField name="2022 Volume" numFmtId="0">
      <sharedItems containsString="0" containsBlank="1" containsNumber="1" minValue="0" maxValue="62012.672500000001"/>
    </cacheField>
    <cacheField name="2023 Volume" numFmtId="0">
      <sharedItems containsString="0" containsBlank="1" containsNumber="1" minValue="0" maxValue="68679.966"/>
    </cacheField>
    <cacheField name="YTD 24 Volume" numFmtId="0">
      <sharedItems containsString="0" containsBlank="1" containsNumber="1" minValue="0" maxValue="37856.881999999998"/>
    </cacheField>
  </cacheFields>
  <extLst>
    <ext xmlns:x14="http://schemas.microsoft.com/office/spreadsheetml/2009/9/main" uri="{725AE2AE-9491-48be-B2B4-4EB974FC3084}">
      <x14:pivotCacheDefinition pivotCacheId="81968705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4.437304166669" createdVersion="8" refreshedVersion="8" minRefreshableVersion="3" recordCount="502" xr:uid="{25DB7C23-5066-497B-9079-6A46FC1F2330}">
  <cacheSource type="worksheet">
    <worksheetSource ref="A1:N1048576" sheet="Source"/>
  </cacheSource>
  <cacheFields count="14">
    <cacheField name="Product Description" numFmtId="0">
      <sharedItems containsBlank="1"/>
    </cacheField>
    <cacheField name="Manufacturer" numFmtId="0">
      <sharedItems containsBlank="1"/>
    </cacheField>
    <cacheField name="Brand" numFmtId="0">
      <sharedItems containsBlank="1" count="141">
        <s v="BABY2000"/>
        <s v="BAMBO NATURE"/>
        <s v="BABY CREMA "/>
        <s v="LINDY "/>
        <s v="LUBA BABY"/>
        <s v="HUGGLO "/>
        <s v="PAPILION "/>
        <s v="PINE "/>
        <s v="TROMPY "/>
        <s v="HAPPY FRESH "/>
        <s v="ULTRA COMPACT "/>
        <s v="KANZ"/>
        <s v="CHICCO "/>
        <s v="UNI "/>
        <s v="EVENT BABY"/>
        <s v="TEX BABY"/>
        <s v="NIVEA BABY"/>
        <s v="SMILE "/>
        <s v="BABYCARE"/>
        <s v="CLEAR SIGHT"/>
        <s v="OKIDOKI "/>
        <s v="BABY WISH "/>
        <s v="COSMI"/>
        <s v="AQUELLA "/>
        <s v="AURA "/>
        <s v="COTTON BABY "/>
        <s v="MIMI NICE"/>
        <s v="MY COMFORT "/>
        <s v="NICE BABY "/>
        <s v="WINEX "/>
        <s v="PADDLERS "/>
        <s v="PURE BABY"/>
        <s v="SLEEPY BABY"/>
        <s v="YESS BABY "/>
        <s v="ELAN "/>
        <s v="SETABLU "/>
        <s v="LIBERO "/>
        <s v="EVY BABY "/>
        <s v="FEMOLE "/>
        <s v="BERFINY "/>
        <s v="FRESH RUNY "/>
        <s v="FRESH MAKER"/>
        <s v="HAPPY ALOE VERA"/>
        <s v="KIDS BABY"/>
        <s v="LIO FRESH "/>
        <s v="NEMDIL "/>
        <s v="PREMIUM QUALITY BABY"/>
        <s v="NAPEEZ BY GRACIA "/>
        <s v="MIKE LINE "/>
        <s v="PRIME TALKO"/>
        <s v="PONKY "/>
        <s v="POZZY "/>
        <s v="CLEANIC "/>
        <s v="PETINO "/>
        <s v="MOLFIX "/>
        <s v="HIMALAYA "/>
        <s v="HIPP BABYSANFT"/>
        <s v="BIONIKE "/>
        <s v="WATER WIPES "/>
        <s v="PAW PATROL "/>
        <s v="PEPPA PIG "/>
        <s v="JOHNSONS "/>
        <s v="MAIA "/>
        <s v="KRISPA "/>
        <s v="FRESH'N SOFT"/>
        <s v="RENKLY"/>
        <s v="HUGGIES "/>
        <s v="KOMILI "/>
        <s v="TANGO "/>
        <s v="MUSTELA "/>
        <s v="LANSINOH "/>
        <s v="LARA BABY"/>
        <s v="PUFY "/>
        <s v="TOP BLITZ "/>
        <s v="CONFY "/>
        <s v="MIMOSA "/>
        <s v="SENCE BABY"/>
        <s v="BABY CARE "/>
        <s v="BABY LINO"/>
        <s v="L'UNICO "/>
        <s v="BIG SOFT "/>
        <s v="HAPPY FAMILY"/>
        <s v="MORS "/>
        <s v="WIPEST "/>
        <s v="NATY "/>
        <s v="FRESH BABY "/>
        <s v="GOLDEN "/>
        <s v="MY FIX "/>
        <s v="PUFFY "/>
        <s v="TITO "/>
        <s v="PUFY BABY"/>
        <s v="SPEEDY CARE "/>
        <s v="CAN BEBE "/>
        <s v="KOPRINA "/>
        <s v="BEBIKO "/>
        <s v="PAPATYA "/>
        <s v="PERFETTO "/>
        <s v="BETTY "/>
        <s v="KLORANE "/>
        <s v="SLIPP "/>
        <s v="MELANI "/>
        <s v="PAMPERS"/>
        <s v="PRIMA "/>
        <s v="URIAGE "/>
        <s v="BIMBO &amp; BIMBA "/>
        <s v="VIBELLE "/>
        <s v="BELUX "/>
        <s v="SECKIN "/>
        <s v="SOFT CARE "/>
        <s v="HOPS "/>
        <s v="DOCTOR WIPES"/>
        <s v="MEDPROFFESIONAL "/>
        <s v="SPRING LINE "/>
        <s v="GIAN "/>
        <s v="SEBAMED "/>
        <s v="MAMMI "/>
        <s v="ASALI "/>
        <s v="COTTON SOFT "/>
        <s v="ELVIM "/>
        <s v="FLAMINGO "/>
        <s v="INCI FRESH"/>
        <s v="SEPTONA "/>
        <s v="IASSMIN "/>
        <s v="JUNIOR &amp; TOMMY "/>
        <s v="NIKI "/>
        <s v="PEPINO "/>
        <s v="RENKLI "/>
        <s v="SWEET  BABY"/>
        <s v="FARMACOTONE "/>
        <s v="VOI "/>
        <s v="TOVA "/>
        <s v="ALVESTA "/>
        <s v="MIS MAK "/>
        <s v="BIVY"/>
        <s v="DAISY "/>
        <s v="BEBECAN "/>
        <s v="HUGO BABY "/>
        <s v="PROSOFT "/>
        <s v="UNAC "/>
        <s v="DOVE "/>
        <m/>
      </sharedItems>
    </cacheField>
    <cacheField name="Package" numFmtId="0">
      <sharedItems containsBlank="1"/>
    </cacheField>
    <cacheField name="Product Attributes" numFmtId="0">
      <sharedItems containsBlank="1"/>
    </cacheField>
    <cacheField name="Size" numFmtId="0">
      <sharedItems containsString="0" containsBlank="1" containsNumber="1" containsInteger="1" minValue="10" maxValue="240"/>
    </cacheField>
    <cacheField name="2022 Value" numFmtId="0">
      <sharedItems containsString="0" containsBlank="1" containsNumber="1" minValue="0" maxValue="1663.8369"/>
    </cacheField>
    <cacheField name="2023 Value" numFmtId="0">
      <sharedItems containsString="0" containsBlank="1" containsNumber="1" minValue="0" maxValue="1815.6596999999999"/>
    </cacheField>
    <cacheField name="YTD 24 Value" numFmtId="0">
      <sharedItems containsString="0" containsBlank="1" containsNumber="1" minValue="0" maxValue="1049.2485999999999"/>
    </cacheField>
    <cacheField name="2022 Volume" numFmtId="0">
      <sharedItems containsString="0" containsBlank="1" containsNumber="1" minValue="0" maxValue="62012.672500000001"/>
    </cacheField>
    <cacheField name="2023 Volume" numFmtId="0">
      <sharedItems containsString="0" containsBlank="1" containsNumber="1" minValue="0" maxValue="68679.966"/>
    </cacheField>
    <cacheField name="YTD 24 Volume" numFmtId="0">
      <sharedItems containsString="0" containsBlank="1" containsNumber="1" minValue="0" maxValue="37856.881999999998"/>
    </cacheField>
    <cacheField name="YoY Growth %" numFmtId="0">
      <sharedItems containsBlank="1"/>
    </cacheField>
    <cacheField name="Value growth" numFmtId="0">
      <sharedItems containsString="0" containsBlank="1" containsNumber="1" minValue="-151.82279999999992" maxValue="105.7092000000000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4.869265624999" createdVersion="8" refreshedVersion="8" minRefreshableVersion="3" recordCount="502" xr:uid="{CBE7C419-77F0-4748-83E0-B8B751277130}">
  <cacheSource type="worksheet">
    <worksheetSource ref="A1:O1048576" sheet="Source"/>
  </cacheSource>
  <cacheFields count="15">
    <cacheField name="Product Description" numFmtId="0">
      <sharedItems containsBlank="1"/>
    </cacheField>
    <cacheField name="Manufacturer" numFmtId="0">
      <sharedItems containsBlank="1"/>
    </cacheField>
    <cacheField name="Brand" numFmtId="0">
      <sharedItems containsBlank="1" count="141">
        <s v="BABY2000"/>
        <s v="BAMBO NATURE"/>
        <s v="BABY CREMA "/>
        <s v="LINDY "/>
        <s v="LUBA BABY"/>
        <s v="HUGGLO "/>
        <s v="PAPILION "/>
        <s v="PINE "/>
        <s v="TROMPY "/>
        <s v="HAPPY FRESH "/>
        <s v="ULTRA COMPACT "/>
        <s v="KANZ"/>
        <s v="CHICCO "/>
        <s v="UNI "/>
        <s v="EVENT BABY"/>
        <s v="TEX BABY"/>
        <s v="NIVEA BABY"/>
        <s v="SMILE "/>
        <s v="BABYCARE"/>
        <s v="CLEAR SIGHT"/>
        <s v="OKIDOKI "/>
        <s v="BABY WISH "/>
        <s v="COSMI"/>
        <s v="AQUELLA "/>
        <s v="AURA "/>
        <s v="COTTON BABY "/>
        <s v="MIMI NICE"/>
        <s v="MY COMFORT "/>
        <s v="NICE BABY "/>
        <s v="WINEX "/>
        <s v="PADDLERS "/>
        <s v="PURE BABY"/>
        <s v="SLEEPY BABY"/>
        <s v="YESS BABY "/>
        <s v="ELAN "/>
        <s v="SETABLU "/>
        <s v="LIBERO "/>
        <s v="EVY BABY "/>
        <s v="FEMOLE "/>
        <s v="BERFINY "/>
        <s v="FRESH RUNY "/>
        <s v="FRESH MAKER"/>
        <s v="HAPPY ALOE VERA"/>
        <s v="KIDS BABY"/>
        <s v="LIO FRESH "/>
        <s v="NEMDIL "/>
        <s v="PREMIUM QUALITY BABY"/>
        <s v="NAPEEZ BY GRACIA "/>
        <s v="MIKE LINE "/>
        <s v="PRIME TALKO"/>
        <s v="PONKY "/>
        <s v="POZZY "/>
        <s v="CLEANIC "/>
        <s v="PETINO "/>
        <s v="MOLFIX "/>
        <s v="HIMALAYA "/>
        <s v="HIPP BABYSANFT"/>
        <s v="BIONIKE "/>
        <s v="WATER WIPES "/>
        <s v="PAW PATROL "/>
        <s v="PEPPA PIG "/>
        <s v="JOHNSONS "/>
        <s v="MAIA "/>
        <s v="KRISPA "/>
        <s v="FRESH'N SOFT"/>
        <s v="RENKLY"/>
        <s v="HUGGIES "/>
        <s v="KOMILI "/>
        <s v="TANGO "/>
        <s v="MUSTELA "/>
        <s v="LANSINOH "/>
        <s v="LARA BABY"/>
        <s v="PUFY "/>
        <s v="TOP BLITZ "/>
        <s v="CONFY "/>
        <s v="MIMOSA "/>
        <s v="SENCE BABY"/>
        <s v="BABY CARE "/>
        <s v="BABY LINO"/>
        <s v="L'UNICO "/>
        <s v="BIG SOFT "/>
        <s v="HAPPY FAMILY"/>
        <s v="MORS "/>
        <s v="WIPEST "/>
        <s v="NATY "/>
        <s v="FRESH BABY "/>
        <s v="GOLDEN "/>
        <s v="MY FIX "/>
        <s v="PUFFY "/>
        <s v="TITO "/>
        <s v="PUFY BABY"/>
        <s v="SPEEDY CARE "/>
        <s v="CAN BEBE "/>
        <s v="KOPRINA "/>
        <s v="BEBIKO "/>
        <s v="PAPATYA "/>
        <s v="PERFETTO "/>
        <s v="BETTY "/>
        <s v="KLORANE "/>
        <s v="SLIPP "/>
        <s v="MELANI "/>
        <s v="PAMPERS"/>
        <s v="PRIMA "/>
        <s v="URIAGE "/>
        <s v="BIMBO &amp; BIMBA "/>
        <s v="VIBELLE "/>
        <s v="BELUX "/>
        <s v="SECKIN "/>
        <s v="SOFT CARE "/>
        <s v="HOPS "/>
        <s v="DOCTOR WIPES"/>
        <s v="MEDPROFFESIONAL "/>
        <s v="SPRING LINE "/>
        <s v="GIAN "/>
        <s v="SEBAMED "/>
        <s v="MAMMI "/>
        <s v="ASALI "/>
        <s v="COTTON SOFT "/>
        <s v="ELVIM "/>
        <s v="FLAMINGO "/>
        <s v="INCI FRESH"/>
        <s v="SEPTONA "/>
        <s v="IASSMIN "/>
        <s v="JUNIOR &amp; TOMMY "/>
        <s v="NIKI "/>
        <s v="PEPINO "/>
        <s v="RENKLI "/>
        <s v="SWEET  BABY"/>
        <s v="FARMACOTONE "/>
        <s v="VOI "/>
        <s v="TOVA "/>
        <s v="ALVESTA "/>
        <s v="MIS MAK "/>
        <s v="BIVY"/>
        <s v="DAISY "/>
        <s v="BEBECAN "/>
        <s v="HUGO BABY "/>
        <s v="PROSOFT "/>
        <s v="UNAC "/>
        <s v="DOVE "/>
        <m/>
      </sharedItems>
    </cacheField>
    <cacheField name="Package" numFmtId="0">
      <sharedItems containsBlank="1"/>
    </cacheField>
    <cacheField name="Product Attributes" numFmtId="0">
      <sharedItems containsBlank="1"/>
    </cacheField>
    <cacheField name="Size" numFmtId="0">
      <sharedItems containsString="0" containsBlank="1" containsNumber="1" containsInteger="1" minValue="10" maxValue="240"/>
    </cacheField>
    <cacheField name="2022 Value" numFmtId="0">
      <sharedItems containsString="0" containsBlank="1" containsNumber="1" minValue="0" maxValue="1663.8369"/>
    </cacheField>
    <cacheField name="2023 Value" numFmtId="0">
      <sharedItems containsString="0" containsBlank="1" containsNumber="1" minValue="0" maxValue="1815.6596999999999"/>
    </cacheField>
    <cacheField name="YTD 24 Value" numFmtId="0">
      <sharedItems containsString="0" containsBlank="1" containsNumber="1" minValue="0" maxValue="1049.2485999999999"/>
    </cacheField>
    <cacheField name="2022 Volume" numFmtId="0">
      <sharedItems containsString="0" containsBlank="1" containsNumber="1" minValue="0" maxValue="62012.672500000001"/>
    </cacheField>
    <cacheField name="2023 Volume" numFmtId="0">
      <sharedItems containsString="0" containsBlank="1" containsNumber="1" minValue="0" maxValue="68679.966"/>
    </cacheField>
    <cacheField name="YTD 24 Volume" numFmtId="0">
      <sharedItems containsString="0" containsBlank="1" containsNumber="1" minValue="0" maxValue="37856.881999999998"/>
    </cacheField>
    <cacheField name="YoY Growth %" numFmtId="0">
      <sharedItems containsBlank="1"/>
    </cacheField>
    <cacheField name="Value growth" numFmtId="0">
      <sharedItems containsString="0" containsBlank="1" containsNumber="1" minValue="-151.82279999999992" maxValue="105.70920000000001"/>
    </cacheField>
    <cacheField name="Volume Drop" numFmtId="0">
      <sharedItems containsString="0" containsBlank="1" containsNumber="1" minValue="-2828.6375999999996" maxValue="30823.08400000000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5.338440509258" createdVersion="8" refreshedVersion="8" minRefreshableVersion="3" recordCount="502" xr:uid="{11A45070-5A67-4D10-AB70-24EBB80BB2B7}">
  <cacheSource type="worksheet">
    <worksheetSource ref="A1:P1048576" sheet="Source"/>
  </cacheSource>
  <cacheFields count="16">
    <cacheField name="Product Description" numFmtId="0">
      <sharedItems containsBlank="1" count="502">
        <s v="BABY2000 CAMOMILLA W 20 BAG ABA SRL"/>
        <s v="BAMBO NATURE W 80 BAG KAPAK"/>
        <s v="BABY CREMA PLAY TIME CAMOMILE W 100 PINK"/>
        <s v="BABYCREMA PLAYTIME CAMOMILE W 100 ORANGE"/>
        <s v="BABY CREMA CAMOMIL W 120 BAG KAPAK"/>
        <s v="BABY CREMA ALOE 15 BAG"/>
        <s v="BABY CREMA CAMOMIL W 15 BAG"/>
        <s v="BABY CREMA PH5.5 W 3X15/1FR BAG &amp;&amp;&amp;"/>
        <s v="BABY CREMA WATER 99% W 15 BAG"/>
        <s v="BABY CREMA CAMOMIL W 40 BAG"/>
        <s v="BABY CREMA COTTON&amp;PANTENOL W 4X56 BAG"/>
        <s v="BABY CREMA COTTON&amp;PANTENOL W 56 BAG"/>
        <s v="BABY CREMA ALOE 64 BAG"/>
        <s v="BABY CREMA CAMOMIL W 64 BAG"/>
        <s v="BABY CREMA PLAY TIME CAMOMIL W 64 BAG"/>
        <s v="BABYCREMA CAMOMIL W 4X64 BAG SUPERTSENA"/>
        <s v="BABY CREMA ALOE&amp;ALMOND OIL W 72 BAG"/>
        <s v="BABY CREMA CAMOMIL&amp;ALMOND W 72 BAG"/>
        <s v="BABY CREMA COTTON W 2X72BAG50%OT TS.VTOR"/>
        <s v="BABY CREMA COTTON&amp;PANTENOL W 72 BAG"/>
        <s v="BABY CREMA NEVEN PH5.5 W 72 BAG"/>
        <s v="BABY CREMA SMRADLIKA PH5.5 W 72 BAG"/>
        <s v="BABY CREMA WATER 99% W 72 BAG"/>
        <s v="BABYCREMA CAMOMILE W 2X72BAG50%OTTS.VTOR"/>
        <s v="BABYCREMA PLAYTIME CAMOMIL W 72 BAG KAPA"/>
        <s v="BABY CREMA ALOE W 80 BAG"/>
        <s v="BABY CREMA CAMOMIL W 80 BAG"/>
        <s v="LINDY VITAMIN E PH5.5 W 120 BAG"/>
        <s v="LINDY ALOE VERA&amp;VIT E W 64 BAG"/>
        <s v="LINDY ALOE VERA&amp;VIT E W 64 BAG KAPAK"/>
        <s v="LINDY CAMOMILE W 64 BAG"/>
        <s v="LINDY CAMOMILE W 64 BAG KAPAK"/>
        <s v="LINDY CREAM W 64 BAG KAPAK"/>
        <s v="LINDY CREAM&amp;VIT.E PH5.5 W 64 BAG"/>
        <s v="LINDY OLIVE OIL EXTR. PH5.5 W 64 BAG"/>
        <s v="LINDY OLIVE OIL EXTR. W 64 BAG KAPAK"/>
        <s v="LINDY SENSITIVE COTTON PH5.5 W 64 BAG"/>
        <s v="LINDY SENSITIVE W 64 BAG KAPAK"/>
        <s v="LINDY WHITE TEA&amp;VIT E W 64 BAG"/>
        <s v="LINDY PREMIUM LAVENDER W 90 BAG KAPAK"/>
        <s v="LUBA BABY B5&amp;VIT E PH5.5W 120 BAG"/>
        <s v="LUBA BABY B5&amp;VIT E PH5.5 90 W BAG"/>
        <s v="HUGGLO BABY PH5.5 W 120 BAG KAPAK"/>
        <s v="PAPILION BABY ALOE VERA W 100 BAG KAPAK"/>
        <s v="PAPILION BABY SENSITIVE W 100 BAG KAPAK"/>
        <s v="PAPILION BABY WET CHAMOMILE W 100 BAG"/>
        <s v="PAPILION BABY WET GREEN APPLE W 100 BAG"/>
        <s v="PAPILION BABYWET CHARM.LAVENDER W 100BAG"/>
        <s v="PAPILION BABYWET CHARMINGROSE W 100 BAG"/>
        <s v="PAPILION JUMBO WET PH5.5 W 120 BAG KAPAK"/>
        <s v="PAPILION BABY WET SENSITIVE W 72 BAG"/>
        <s v="PAPILION YELLOW LILY W 90 BAG KAPAK"/>
        <s v="PINE ALOE VERA KREMALI W 120 BAG KAPAK"/>
        <s v="PINE ALOE VERA KREMALI W 72 BAG KAPAK"/>
        <s v="TROMPY 20 BAG"/>
        <s v="HAPPY FRESH BABY W 72 BAG KAPAK"/>
        <s v="ULTRA COMPACT ANGELS ALC.FREE W 120 BAG"/>
        <s v="ULTRA COMPACT MOMO CREAMY W 120 BAG"/>
        <s v="ULTRA COMPACT ANGELS ALC.FREE W 72 BAG"/>
        <s v="ULTRACOMPACT BABY PH5.5 ALC.FREE W 72 BA"/>
        <s v="KANZ NATURAL SENS.SKIN ALC.FREE W120 BAG"/>
        <s v="KANZ EXTRA SOFT ALC.FREE W 50 BAG"/>
        <s v="KANZ ULTRA SOFT ALC.FREE W 72 BAG"/>
        <s v="CHICCO SALVIETTINE SENSITIVE W 60 BAG"/>
        <s v="CHICCO SALVIETTINE PARABENI W 72 BAG"/>
        <s v="UNI COMFORT LOTION P H5.5 72 BAG"/>
        <s v="EVENT BABY CALENDULA 140 BAG KAPAK"/>
        <s v="EVENT BABY CALENDULA 140 BAG KAPAK+WIP"/>
        <s v="EVENT BABY MOIST.CHAMOMILE 20 W BAG"/>
        <s v="EVENT BABY SENSIT. ALOE VERA 20 BAG"/>
        <s v="EVENT BABY CALENDULA W 25 BAG"/>
        <s v="EVENT BABY CALENDULA W 25 BAG+WIP 140"/>
        <s v="EVENT BABY CALENDULA HYPOALL.W 30 BAG"/>
        <s v="EVENT BABY HYPOAL.CALENDULA 64 W BAG"/>
        <s v="EVENT BABY HYPOALL.CHAMOMILE 72 W BAG"/>
        <s v="EVENT BABY MOIST.CHAMOMILE 72 W BAG"/>
        <s v="EVENT BABY SENSIT. ALOE VERA 72 W BAG"/>
        <s v="TEX BABY PH5.5 ALC.FREE W 100 BAG PURPLE"/>
        <s v="TEX BABY PH5.5 ALC.FREE W 100 BAG YELLOW"/>
        <s v="NIVEA BABY SOFT&amp;CREME 20 BAG"/>
        <s v="NIVEA BABY TODDIES 2IN1 60 BAG"/>
        <s v="NIVEA BABY FRESH&amp;PURE 63 BAG"/>
        <s v="NIVEA BABY PURE&amp;SENSITIVE 63 W BAG"/>
        <s v="NIVEA BABY SOFT&amp;CREME 63 BAG"/>
        <s v="SMILE ALOE&amp;CAMOMILE PH5.5 60 BAG"/>
        <s v="BABYCARE WITHCREAM W 80/8FREE BAG KAPAK"/>
        <s v="ClearSight BABY ALOE VERA PH5.5 W 25 BAG"/>
        <s v="ClearSight BABY CALENDULA PH5.5 W 25 BAG"/>
        <s v="ClearSight BABY CHAMOMILE PH5.5 W 25 BAG"/>
        <s v="ClearSight BABY CHAMOMILE PH5.5 W 66 BAG"/>
        <s v="ClearSight BABY ALOE VERA PH5.5 W 80 BAG"/>
        <s v="ClearSight BABY CALENDULA PH5.5 W 80 BAG"/>
        <s v="ClearSight BABY CHAMOMILE PH5.5 W 80 BAG"/>
        <s v="OKIDOKI  FreshClean CAMOMILLA 60 BAG"/>
        <s v="BABY WISH VITE&amp;PROVITAMINB5 W 120 BAG"/>
        <s v="COSMI BABY ARGAN W 20 BAG"/>
        <s v="AQUELLA BABY AMUR WITH CREAM W 120 BAG"/>
        <s v="AQUELLA BABY ULTRA SOFT CREAM W 120 BAG"/>
        <s v="AQUELLA TROPIC ALC.FREE W 120 BAG"/>
        <s v="AQUELLA KIDS BABY ALOEVERA&amp;CREAM W 60BAG"/>
        <s v="AQUELLA BABY VIT E&amp;PRO B5 W 72 BAG"/>
        <s v="AQUELLA KIDS BABY PH5.5 W 72 BAG"/>
        <s v="AQUELLA BABY VIT E&amp;PRO B5 W 90 BAG KAPAK"/>
        <s v="AURA ULTRA COMF. COTTON HYPOALL. W 100 B"/>
        <s v="AURA ULTRA COMFORT COTTON W 63 BAG"/>
        <s v="COTTON BABY UL.SOFT CREAM ALC.FREE W 120"/>
        <s v="COTTON BABY PH5.5 AL.FREE W 90 BAG KAPAK"/>
        <s v="MIMI NICE BABY PH5.5 W 15 BAG"/>
        <s v="MY COMFORT BABY ANGEL PH5.5 W 120 BAG"/>
        <s v="MY COMFORT BABY ARGAN ALK.FREE W 120 BAG"/>
        <s v="NICEBABY PROVITB5&amp;VITE PH5.5 W 120 BAG"/>
        <s v="WINEX BABY PH5.5 W 72 BAG"/>
        <s v="WINEX BABY PROVITB5&amp;VIT.F PH5.5 W 72 BAG"/>
        <s v="PADDLERS SOFT&amp;CREAM PROVITB5&amp;VITE W 120"/>
        <s v="PURE BABY JUMBO PH5.5 W 120 BAG"/>
        <s v="SLEEPY BABY SENSITIVE 110 W BAG KAPAK"/>
        <s v="SLEEPY BABY APPLE AL.FREE W 120 BAG"/>
        <s v="SLEEPY BABY LEMON AL.FREE W 120 BAG"/>
        <s v="SLEEPY BABY ORANGE AL.FREE W 120 BAG"/>
        <s v="SLEEPY BABY PH5.5 120 W BAG KAPAK"/>
        <s v="SLEEPY STRAWBERRY BABY AL.FREE 120 W BAG"/>
        <s v="SLEEPY BABY MIXED FRUIT PH5.5 15 W BAG"/>
        <s v="SLEEPY BABY PH5.5 70 W BAG"/>
        <s v="SLEEPY  FreshClean 90 W BAG KAPAK"/>
        <s v="YESS BABY ALC.FREE W 120 BAG"/>
        <s v="YESS BABY ALC.FREE W 15 BAG"/>
        <s v="ELAN SENS.CREAM LOTION W 120 BAG ZELENI"/>
        <s v="LAN SENS.CREAM LOTION 120 BAG LILAVI"/>
        <s v="SETABLU OAT EXTRACT PH5.5 W 72 BAG KAPAK"/>
        <s v="LIBERO ALOE ALC.FREE W 20 BAG"/>
        <s v="LIBERO ALOE&amp;CHAMOMILE W 20 BAG"/>
        <s v="LIBERO ALOE&amp;CHAMOMILE W 4X64 BAG"/>
        <s v="LIBERO ALOE&amp;CHAMOMILE W 64 BAG"/>
        <s v="EVY BABY SOFT CHAMOMILE ALC.FREE W50 BAG"/>
        <s v="EVY BABY SOFT CHAMOMILE EXTRACT W 56 BAG"/>
        <s v="EVY BABY CREAMY ALOE VERA MOIST W 60 BAG"/>
        <s v="EVY BABY SOFT CHAMOMILE EXTRACT W 60 BAG"/>
        <s v="FEMOLE FRESH VITE PH5.5 W 72 BAG CHERVEN"/>
        <s v="FEMOLE FRESHBABY VITE PH5.5 W 72 BAG SIN"/>
        <s v="BERFINY CLASSIC BABY W 72 BAG"/>
        <s v="BERFINY EXTRA BABY W 72 BAG"/>
        <s v="FRESH RUNY BABY PH5.5 ALC.FREE W 120 BAG"/>
        <s v="FRESH RUNY BABY MILK&amp;HONEY W 64 BAG"/>
        <s v="FRESH MAKER BABY PH5.5 W 120 BAG JUMBO"/>
        <s v="FRESH MAKER BABY CREAM W 120/48FREE BAG"/>
        <s v="FRESH MAKER BABY CREAM W 72 BAG"/>
        <s v="FRESH MAKER BABY CREAM W 72 BAG KAPAK"/>
        <s v="FRESH MAKER BABY CREAM W 96/24FREE BAG"/>
        <s v="FRESH MAKER BABY W 72 BAG"/>
        <s v="FRESH MAKER BABY WITH CREAM W 72 BAG"/>
        <s v="FRESH MAKER ALOE VERA PH5.5 W 90 BAG"/>
        <s v="FRESH MAKER SENSITIVE ALC.FREE W 90 BAG"/>
        <s v="HAPPY ALOE VERA W 100 BAG KAPAK"/>
        <s v="KIDS BABY WET WIPES W 72 BAG KAPACHE"/>
        <s v="LIO FRESH BABY CREAM LOTION W 72 BAG"/>
        <s v="NEMDIL BABY ROSE W 120 BAG KAPAK"/>
        <s v="NEMDIL BABY WITH CREAM W 120 BAG KAPAK"/>
        <s v="NEMDIL BABY ALCOHOL FREE W 72 BAG"/>
        <s v="NEMDIL BABY OLIVE OIL CAMOMILE W 72 BAG"/>
        <s v="NEMDIL BABYDELUXEALOE&amp;MIK&amp;HONEY W 72KAPA"/>
        <s v="PREMIUM QUALITY BABY W 72 BAG &amp;&amp;&amp;"/>
        <s v="PURE BABY LILIUM W 120 BAG KAPAK"/>
        <s v="NAPEEZBYGRACIA BABY PH5.5 100 BAG KAPAK"/>
        <s v="MIKE LINE SENSIT.CREAM LOTION W 72 BAG"/>
        <s v="PRIME TALKO SENSITIVE 63 BAG KAPAK"/>
        <s v="PRIME BABY ALC.FREE 72 BAG KAPAK"/>
        <s v="PONKY BABY W 72 BAG +KAPACHE"/>
        <s v="PONKY BABY WET TOWEL W 72 BAG ZHALTI"/>
        <s v="POZZY EXTRA MILK&amp;HONEY PH5.5 W 72 BAG"/>
        <s v="POZZY EXTRA OLIVE OIL ALC.FREE W 72 BAG"/>
        <s v="CLEANIC BABY ATOPICAL D-PANT. PH 50 BAG"/>
        <s v="CLEANIC BABY PROBIOTICAL HYPOAL.50 BAG"/>
        <s v="CLEANIC BABY VEGEMILK VIT&amp;MIN.50 BAG"/>
        <s v="PETINO DELICATO&amp;FRESH ALANTOIN 120 BAG"/>
        <s v="PETINO DELICATO&amp;FRESH ALANTOIN 84/12FR"/>
        <s v="MOLFIX BABY COTTON PH5.5 W 50 BAG HAYAT"/>
        <s v="MOLFIX BABY IZOT.WATER PANT.&amp;LAN.W 60 BA"/>
        <s v="MOLFIX BABY LOTION ISO.WATER W 3X60 BAG"/>
        <s v="MOLFIX BABY LOTION PH5.5 W 60 BAG HAYAT"/>
        <s v="MOLFIX BABY LOTION W 3X60 BAG HAYAT"/>
        <s v="MOLFIX BABY LOTION W 3X63 BAG HAYAT"/>
        <s v="MOLFIX BABY W 63 BAG HAYAT"/>
        <s v="HIMALAYA ALOE VERA&amp;INDIANLOTUS W 20 BAG"/>
        <s v="HIMALAYA SOOTHING&amp;PROTECTINGBABY W 20BAG"/>
        <s v="HIMALAYA ALOE VERA&amp;INDIANLOTUS W 56 BAG"/>
        <s v="HIMALAYA SOOTHING&amp;PROTECTINGBABY W 56BAG"/>
        <s v="HIPP BABY SANFT ALMOND PH5.5 W 10 BAG"/>
        <s v="HIPP BABY ULTRASENSITIVE MANDEL W 52 BAG"/>
        <s v="HIPP BABY ALMOND W 56 BAG"/>
        <s v="HIPP BABY GENTLE CARING W 56 BAG"/>
        <s v="HIPP BABY SANFT FEUCHT TUCHER W 56 BAG"/>
        <s v="HIPP BABYSANFT BIOMANDELEXT.W 2X56+POD."/>
        <s v="HIPP BABYSANFT BIOMANDELEXTR. W 2X56 BAG"/>
        <s v="HIPP BABYSANFT BIOMANDELEXTRACT W 56 BAG"/>
        <s v="BIONIKE TRIDERM BABY CLEANSING 72 BAG"/>
        <s v="WATERWIPES FRUITEXTR.99.9%WATER W 10 BAG"/>
        <s v="WATERWIPES FRUITEXTR.99.9%WATER W 240BAG"/>
        <s v="WATERWIPES FRUITEXTR.99.9%WATER W 28 BAG"/>
        <s v="WATERWIPES FRUITEXTR.99.9%WATER W 60 BAG"/>
        <s v="WATERWIPES SOAPBERRY99.9%WATER W 60 BAG"/>
        <s v="PAW PATROL  FreshClean 56 W BAG"/>
        <s v="PEPPA PIG BABY MUDDY PUDDLE 56 W BAG"/>
        <s v="JOHNSONS BABY GENTLE ALL OVER W 20 BAG"/>
        <s v="JOHNSONS BAB COT.TOU SEN.W56+BOD+SHG+IGR"/>
        <s v="JOHNSONS BABY COTTON TOUCH SENS.W 56 BAG"/>
        <s v="JOHNSONS BABY GENTLE ALL OVER W 3X56 BAG"/>
        <s v="JOHNSONS BABY SILK EXTRACT W 56 BAG"/>
        <s v="JOHNSONS BABY GENTLE ALL OVER W 72 BAG K"/>
        <s v="JOHNSONS BABY SENSITIVE ALC.FREE W 72 BA"/>
        <s v="MAIA BABY PURE&amp;SENSITIVE PH5.5 W 72 BAG"/>
        <s v="KRISPA BABY CAMOMILE W 15 BAG"/>
        <s v="FRESH'N SOFT WATER&amp;COTTON W 3X40 BAG"/>
        <s v="FRESH'N SOFT CLASSIC PH5.5 W 90 BAG"/>
        <s v="RENKLY JUMBO CHAMOMILE 120 W BAG KAPAK"/>
        <s v="RENKLY BABY ALC.FREE W 70 BAG"/>
        <s v="RENKLY BABY ALOE VERA 70 W BAG"/>
        <s v="RENKLI BABY ALC.FREE PH5.5 W 72 BAG KAPA"/>
        <s v="RENKLY BABY 72 W BAG"/>
        <s v="HUGGIES NATURAL CARE ALOE VERA W 56 BAG"/>
        <s v="HUGGIES PURE COTTON WOOL&amp;WATER 56 W BAG"/>
        <s v="HUGGIES SOFT SKIN VIT E 56 BAG"/>
        <s v="HUGGIES UNISTAR LINGETTES 56 W BAG"/>
        <s v="HUGGIES ALOE+VIT E W 64 BAG"/>
        <s v="HUGGIES BABY UNISTAR W 64 BAG"/>
        <s v="HUGGIES PURE 99% WATER 72 W BAG"/>
        <s v="KOMILI BABY SOFT ALC.FREE W 70 BAG"/>
        <s v="KOMILI BABY COTTON PH5.5 W 80 BAG"/>
        <s v="TANGO BABY SOFT VIT E ALC.FREE 72BR BAG"/>
        <s v="MUSTELA BEBE CLEANSING 25 W BAG"/>
        <s v="MUSTELA BEBE CLEANSING 25 W NP KAPAK"/>
        <s v="MUSTELA BEBE STELATOPIA W 50 BAG KAPAK"/>
        <s v="MUSTELABEBE STELATOPIAW50KAP+BOD+BOD+BOD"/>
        <s v="MUSTELA BEBE CLEANSING 60 W BAG"/>
        <s v="MUSTELA BEBE CLEANSING AVOCADO 70 W BAG"/>
        <s v="MUSTELA BEBE CLEANSING W 70 BAG KAPAK"/>
        <s v="MUSTELA BEBE SOOTHING ALOE VERA 70 W BAG"/>
        <s v="LANSINOH BABY ALC.FREE W 80 BAG KAPAK"/>
        <s v="LARA BABY SOFT ALOE VERA W 100 BAG KAPAK"/>
        <s v="LARA BABY SOFT CAMOMILE W 100 BAG KAPAK"/>
        <s v="LARA BABY SOFT GERBERA DAISY W 100 BAG"/>
        <s v="LARA BABY SOFT LAVENDER W 100 BAG KAPAK"/>
        <s v="LARA BABY SOFT WILD ROSE W 100 BAG KAPAK"/>
        <s v="LARA BABYSOFT LEMON&amp;GRAPEFRUIT W 100 BAG"/>
        <s v="LARA BABY SOFT ALOE VERA W 120 BAG KAPAK"/>
        <s v="LARA BABY SOFT CAMOMILE BREEZE W 120 BAG"/>
        <s v="LARA BABY SOFT CAMOMILE W 120 BAG KAPAK"/>
        <s v="LARA BABY SOFT GERBER W 120 BAG KAPAK"/>
        <s v="LARA BABY SOFT LAVENDER W 120 BAG KAPAK"/>
        <s v="LARA BABY SOFT WILD ROSE W 120 BAG KAPAK"/>
        <s v="LARA BABYSOFT LEMON&amp;GRAPEFRUIT W 120 BAG"/>
        <s v="LARA BABYSOFT PREMIUM ALC.FREE W 120 BAG"/>
        <s v="LARA BABY SOFT&amp;FRESH PH5.5 W 20 BAG"/>
        <s v="LARA BABY SOFT ALOE VERA W 40 BAG"/>
        <s v="LARA BABY SOFT VIT E&amp;PRO VIT B5 W 40 BAG"/>
        <s v="LARA CARE BABY 99%WATER PREBIOTIC W 60"/>
        <s v="LARA BABY FRESH W 72 BAG/KAPACHE"/>
        <s v="LARA BABY SENSITIVE PH5.5 W 72 BAG"/>
        <s v="LARA BABY SOFT CAMOMILE W 72 BAG/KAPACHE"/>
        <s v="LARA BABY SOFT PH5.5 W 72 BAG"/>
        <s v="LARA BABY SOFT PH5.5 W 72 BAG KAPAK"/>
        <s v="LARA BABY SOFT VIT E&amp;PRO VIT B5 W 72 BAG"/>
        <s v="LARA BABY SOFT&amp;FRESH W 72 BAG"/>
        <s v="LARA BABY SPECIAL FORMULA VIT E W 72 BAG"/>
        <s v="LARA BABY SOFT ALOE VERA W 80 BAG KAPAK"/>
        <s v="LARA BABY SOFT WILD ROSE W 80 BAG KAPAK"/>
        <s v="LARA BABYSOFT CAMOMILEBREEZ.W 80 BAG KAP"/>
        <s v="LARA BABY SOFT EXTRA W 96 BAG/KAPACHE"/>
        <s v="PUFY FRESH GERBERA PH5.5 W 120 BAG"/>
        <s v="TOP BLITZ CREAM VIT E W 72 BAG"/>
        <s v="CONFY BABY PH5.5 W 40 BAG"/>
        <s v="CONFY BABY SENSITIVE W 90 BAG"/>
        <s v="CONFY BABY SENSITIVE W 90 BAG PINK"/>
        <s v="MIMOSA BABY ALOE VERA 64 BAG"/>
        <s v="MIMOSA BABY CHAMOMILE 64 BAG"/>
        <s v="MIMOSA BABY PH5.5 72 BAG KAPAK"/>
        <s v="SENCE BABY SENSITIVE PH5.5 W 60 BAG"/>
        <s v="BABY CARE CHAMOMILE 4X12/2FR BAG"/>
        <s v="BABY CARE CHAMOMILE W 12 BAG"/>
        <s v="BABY CARE CHAMOMILE W 3X12/1FR BAG"/>
        <s v="BABY CARE TRAVEL CHAMOMILE 20 BAG"/>
        <s v="BABY CARE CLAMING PURE WATER 63 BAG"/>
        <s v="BABY CARE PURE COTTON EXTRACT 63 BAG"/>
        <s v="BABY CARE SENSITIVE OLIVE EXTRACT 63 BAG"/>
        <s v="BABY CARE TRAVEL CHAMOMILE 72 BAG RE"/>
        <s v="BABY LINO SENSITIVE CHAMOMILE W 54 BAG"/>
        <s v="BABYLINO SENSITIVE ARNIKACHAMOMILE W 54"/>
        <s v="BABYLINO SENSITIVE CHAMOMILE W 54+10 BAG"/>
        <s v="BABYLINO SENSITIVE CHAMOMILE W 54+WIP 10"/>
        <s v="L'UNICO BABY OLIO DI ARGAN HYPO.W 72 BAG"/>
        <s v="BIG SOFT SENSITIVE WITH CREAM 100 BAG"/>
        <s v="BIGSOFT SENSITIVEWITHCREAM 100 BAG KAPAK"/>
        <s v="BIG SOFT CREAM SENS.PH5.5 W 120 BAG"/>
        <s v="BIG SOFT SENSITIVE OLIVE OIL ALOE 70 BAG"/>
        <s v="HAPPY FAMILY BABY PH5.5 W 70 BAG"/>
        <s v="MORS CHAMOMILE PH5.5 W 120 BAG KAPAK"/>
        <s v="WIPEST COMFORT ALC.FREE W 120 BAG KAPAK"/>
        <s v="WIPEST COMFORT ALC.FREE W 72 BAG KAPAK"/>
        <s v="NATY SENSITIVE ALOE VERA W 56 BAG"/>
        <s v="NATY SENSITIVE W 56 BAG NATY AB"/>
        <s v="FRESH BABY PREMIUM ALC.FREE W 100 BAG"/>
        <s v="FRESH BABY PH5.5 W 15 BAG"/>
        <s v="FRESH BABY WATER 99.9% W 60 BAG"/>
        <s v="FRESH BABY P H5.5 W 72 BAG"/>
        <s v="FRESH BABY PH5.5 W 72 BAG KAPAK"/>
        <s v="GOLDEN SENSITIVE W 120 BAG"/>
        <s v="GOLDEN SENSITIVE W 72 BAG"/>
        <s v="MY FIX BABY ROSE FRESH W 80 BAG KAPAK"/>
        <s v="PUFFY BABY SENSITIVE PURE W 88 BAG KAPAK"/>
        <s v="TITO BABY SOFT COMFORT PH5.5 W 120 BAG"/>
        <s v="TITO BABY PH5.5 ALC.FREE W 72 BAG KAPAK"/>
        <s v="TITO BABY SOFT COMFORT PH5.5 W 72 BAG"/>
        <s v="FRESH BABY PREM.QUALITY PH5.5 W 120 BAG"/>
        <s v="PUFY BABY CHAMOMILE PH5.5 W 120 BAG"/>
        <s v="SPEEDYCARE BABYLINECONCREMAMAXI 20 BAG"/>
        <s v="CAN BEBE BASIC CARE ALK.FREE W 56 BAG"/>
        <s v="KOPRINA  FreshClean 72 W BAG KAPAK"/>
        <s v="BEBIKO VIP BABY ALOE VERA W 72 BAG KAPAK"/>
        <s v="PAPATYA BABY B5&amp;VIT E PH5.5 90 W BAG"/>
        <s v="PERFETTO PH5.5 ALC.FREE W 80 BAG"/>
        <s v="BETTY BABY ALC.FREE W 24 BAG"/>
        <s v="BETTY BABY ALC.FREE W 72 BAG"/>
        <s v="KLORANE BEBE CALENDULA ALC.FREE W 25 BAG"/>
        <s v="KLORANE BEBE CALENDULA CLEAN.LOTION W 70"/>
        <s v="KLORANE BEBE CALENDULA THICKCL. W 70 BAG"/>
        <s v="KLORANE BEBE CALENDULA W 70 SP.TS. BAG"/>
        <s v="FRESH BABY ALOE&amp;CALEN. PH5.5 W 60 BAG"/>
        <s v="FRESH BABY AQUA PURE PH5.5 W 60 BAG"/>
        <s v="FRESH BABY CARE ALOE VERA W 60 BAG"/>
        <s v="FRESH BABY SOFT CREAM W 60 BAG"/>
        <s v="SLIPP BEBE SENS.LOTION&amp;VITE&amp;B5 W 120 BAG"/>
        <s v="MELANI BABY ALOEVERA&amp;VITE W 64 BAG KAPAK"/>
        <s v="PAMPERS AQUA PURE ALC.FREE 12 BAG+DIA"/>
        <s v="PAMPERS AQUA PURE ALC.FREE 12 BAG+DIA28"/>
        <s v="PAMPERS AQUA PURE ALC.FREE 12 BAG+DIA50"/>
        <s v="PAMPERS SENSITIVE ALC.FREE 12 BAG"/>
        <s v="PAMPERS SENSITIVE PH5.5 12 BAG"/>
        <s v="PAMPERS BABY FRESH 24 BAG"/>
        <s v="PAMPERS SOLE E LUNA CAMOMILLA 50/25%BAG"/>
        <s v="PAMPERS AQUA HARMONIE 99%WATER 3X48 BAG"/>
        <s v="PAMPERS AQUA HARMONIE 99%WATER AL.FR.48"/>
        <s v="PAMPERS AQUA PURE ALC.FREE 3X48 BAG"/>
        <s v="PAMPERS AQUA PURE ALC.FREE 48 BAG"/>
        <s v="PAMPERS BABY FRESH CLEAN W 2X52 BAG"/>
        <s v="PAMPERS BABY FRESH CLEAN W 4X52 BAG"/>
        <s v="PAMPERS BABY FRESH CLEAN W 52 BAG"/>
        <s v="PAMPERS BABY FRESH CLEAN W 52 BAG+DIA 38"/>
        <s v="PAMPERS BABY FRESH CLEAN W 52 BAG+DIA 40"/>
        <s v="PAMPERS BABY FRESH CLEAN W 52 BAG+DIA 42"/>
        <s v="PAMPERS BABY FRESH CLEAN W 52 BAG+DIA 44"/>
        <s v="PAMPERS BABY FRESH CLEAN W 52 BAG+DIA 51"/>
        <s v="PAMPERS BABY FRESH CLEAN W 52 BAG+DIA 52"/>
        <s v="PAMPERS BABY FRESH CLEAN W 52 BAG+DIA 53"/>
        <s v="PAMPERS BABY FRESH CLEAN W 52 BAG+DIA 54"/>
        <s v="PAMPERS BABY FRESH CLEAN W 52 BAG+DIA 58"/>
        <s v="PAMPERS BABY FRESH CLEAN W 52 BAG+DIA 60"/>
        <s v="PAMPERS BABY FRESH CLEAN W 52 BAG+DIA 66"/>
        <s v="PAMPERS BABY FRESH CLEAN W 52 BAG+DIA 68"/>
        <s v="PAMPERS BABY FRESH CLEAN W 52 BAG+DIA 76"/>
        <s v="PAMPERS BABY FRESH CLEAN W 52 BAG+DIA 78"/>
        <s v="PAMPERS BABY FRESH CLEAN W 52 BAG+DIA 90"/>
        <s v="PAMPERS BABY FRESH CLEAN W 52 BAG+DIA104"/>
        <s v="PAMPERS BABY FRESH CLEAN W 52 BAG+DIA50"/>
        <s v="PAMPERS BABY FRESH CLEAN W 52+DIA PANT38"/>
        <s v="PAMPERS BABY FRESH CLEAN W 6X52 BAG"/>
        <s v="PAMPERS BABY FRESH CLEAN W52+DIA ACT6 44"/>
        <s v="PAMPERS BABY FRESH CLEAN W52+DIA PANTS60"/>
        <s v="PAMPERS SENSITIVE PH5.5 2X52 BAG"/>
        <s v="PAMPERS SENSITIVE PH5.5 4X52 BAG"/>
        <s v="PAMPERS SENSITIVE PH5.5 52 BAG"/>
        <s v="PAMPERS SENSITIVE PH5.5 6X52 BAG"/>
        <s v="PAMPERS SENSITIVE 54 BAG KAPAK"/>
        <s v="PAMPERS SENSITIVE 2X56 BAG"/>
        <s v="PAMPERS SENSITIVE 4X56 BAG"/>
        <s v="PAMPERS SENSITIVE 56 BAG"/>
        <s v="PAMPERS SENSITIVE 56 BAG KAPAK"/>
        <s v="PAMPERS SENSITIVE 56 BAG+DIA PANTS3 60"/>
        <s v="PAMPERS SENSITIVE 56 BAG+DIA PANTS4 52"/>
        <s v="PAMPERS SENSITIVE 56 BAG+DIA PANTS5 48 1"/>
        <s v="PAMPERS SENSITIVE 56 BAG+DIA PR CARE54"/>
        <s v="PAMPERS SENSITIVE 56 BAG+DIAPREMCARE3 60"/>
        <s v="PAMPERS SENSITIVE 56 BAG+DIAPREMCARE5 44"/>
        <s v="PAMPERS SENSITIVE 6X56/2BR FREE BAG"/>
        <s v="PAMPERS SENSITIVE CAMOMILE&amp;ALOE 56 BAG"/>
        <s v="PAMPERS SENSITIVE SOFTLIKECOTTON 56 BAG"/>
        <s v="PAMPERS SENSITIVE W 6X56/336 BAG"/>
        <s v="PAMPERS SENSITIVE XXL W 6X56/2BR FR BAG"/>
        <s v="PAMPERS BABY FRESH ALOE W 64 BAG"/>
        <s v="PAMPERS BABY FRESH CLEAN W 4X64 BAG"/>
        <s v="PAMPERS BABY FRESH CLEAN W 64 BAG"/>
        <s v="PAMPERS BABY FRESH CLEAN W 64 BAG+DIA 42"/>
        <s v="PAMPERS BABY FRESH CLEAN W 64 BAG+DIA68"/>
        <s v="PAMPERS BABY FRESH CLEAN W 6X64/384 BAG"/>
        <s v="PAMPERS BABY FRESH ECONOMY W 2X64 BAG"/>
        <s v="PAMPERS BABYFRESHCLEAN ALOE W 6X64/2BRFR"/>
        <s v="PAMPERS BABYFRESHCLEAN W 3X64/1FREE BAG"/>
        <s v="PAMPERS CLEAN&amp;PLAY 64 BAG"/>
        <s v="PAMPERS NATURAL CLEAN W 64 BAG KAPAK"/>
        <s v="PAMPERS NATURALCLEAN FRAGR.FREE W 64 BAG"/>
        <s v="PAMPERS NATURALLY CLEAN W 4X64 BAG"/>
        <s v="PAMPERS NATURALLY CLEAN+CHAMOMILE W 2X64"/>
        <s v="PAMPERS BABY FRESH CLEAN XXL W 80 BAG"/>
        <s v="PAMPERS SENSITIVE PH5.5 XXL 80 BAG"/>
        <s v="PAMPERS HARMONIE COCO AL.FREE 3X42 BAG"/>
        <s v="PAMPERS HARMONIE COCO AL.FREE 42 BAG"/>
        <s v="PAMPERS PURE COCONUT AL.FREE 3X42 BAG"/>
        <s v="PAMPERS PURE COCONUT AL.FREE 42 BAG"/>
        <s v="PAMPERS 72 R BAG"/>
        <s v="PAMPERS SENSITIVE 56 BOX"/>
        <s v="PRIMA HASSAS CILTLER W 56 BAG"/>
        <s v="PRIMA  FreshClean ALOE W 64 BAG"/>
        <s v="URIAGE BEBE HYPOALERGENIC W 2X70/1FR BAG"/>
        <s v="URIAGE BEBE HYPOALERGENIC W 70 BAG"/>
        <s v="BIMBO&amp;BIMBA CHAMOMILE&amp;ALOE W 80 BAG"/>
        <s v="BIMBO&amp;BIMBA CHAMOMILE&amp;CALENDULA W 80 BAG"/>
        <s v="BIMBO&amp;BIMBA CHAMOMILE&amp;LAVENDER W 80 BAG"/>
        <s v="BIMBO&amp;BIMBA CHAMOMILE&amp;SMRADLIKA W 80 BAG"/>
        <s v="VIBELLE BABY RASPBERRY VIT E PH5.5 W 144"/>
        <s v="VIBELLE BABY ULTRA SENS.ROSE PH5.5 W 144"/>
        <s v="BELUX BABY SENS.CREAM LOTION W 120 BAG"/>
        <s v="BELUX ULTRA SENSITIVE W 120/48GRATIS BAG"/>
        <s v="SECKIN PROVITB5 PH5.5 ALC.FREE W 102 BAG"/>
        <s v="SOFT CARE COTTON VIT ECHAMOMILE W 72 BAG"/>
        <s v="HOPS P H5.5 W 90/18BONUS ORANJEVI BAG"/>
        <s v="DOCTOR WIPES BABY GRAPES W 60 BAG KAPAK"/>
        <s v="DOCTOR WIPES BABY W 72 BAG &amp;&amp;&amp;"/>
        <s v="MEDPROFESSIONAL BABYPOWDERARGANOIL W 24"/>
        <s v="MED PROFESSIONAL BABY ALOE VERA W 60 BAG"/>
        <s v="MEDPROFESSIONAL BABYGRAPESEEDOIL W 60BAG"/>
        <s v="SPRING LINE  FreshClean W 120 BAG &amp;&amp;&amp;"/>
        <s v="GIAN BABY CREAM PH5.5 W 120 BAG"/>
        <s v="GIAN BABY CREAM PH5.5 W 72 BAG"/>
        <s v="SEBAMED BABYCLEANSING EXTRASOFT W 72 BAG"/>
        <s v="SEBAMED BABY OIL WIPES W 70 BOX"/>
        <s v="MAMMI PH5.5 ALC.FREE W 72 BAG SINI"/>
        <s v="MAMMI PH5.5 ALC.FREE W 72 BAG ZELENI"/>
        <s v="ASALI BABY ULTRA SOFT VIT.E W 120 BAG"/>
        <s v="COTTON SOFT CHAMOMILE ALC.FREE W 100 BAG"/>
        <s v="COTTON SOFT PH5.5 W 120 BAG KAPAK"/>
        <s v="COTTON SOFT PH5.5 W 72 BAG KAPAK"/>
        <s v="COTTON SOFT W 72 BAG"/>
        <s v="ELVIM BABY JUMBO SENSITIVE W 120 BAG"/>
        <s v="ELVIM ULTRA SENSITIVE VIT E&amp;B5 W 70 BAG"/>
        <s v="ELVIM BABY ULTRASENSITIVE LOTION&amp;VITE 72"/>
        <s v="ELVIM BABY ULTRASENSITIVE LOTION&amp;VITE 90"/>
        <s v="FLAMINGO BABY ULTRASENS.LOTION&amp;VITE 70 B"/>
        <s v="INCI FRESH VITE&amp;PROVITB5 ALC.FREE W 100"/>
        <s v="INCI FRESH VITE&amp;PROVITB5 PH5.5 W 120 BAG"/>
        <s v="INCI FRESH ULTRASOFT VITE&amp;PROVITB5 W 144"/>
        <s v="INCI FRESH VITE&amp;PROVITB5 PH5.5 W 60 BAG"/>
        <s v="INCI FRESH VITE&amp;PROVITB5 PH5.5 W 72 BAG"/>
        <s v="INCI FRESH VITE&amp;PROVITB5 PH5.5 W 90/18FR"/>
        <s v="SEPTONA CALM NCARE CHAMOM BABY 12 W BAG"/>
        <s v="SEPTONA ALOE VERA BABY ALC.FREE 20 BAG"/>
        <s v="SEPTONA CHAMOMILE BABY 20 W BAG"/>
        <s v="SEPTONA SENSITIVE ALMOND&amp;MILK W 20 BAG"/>
        <s v="SEPTONA SENSITIVE CALMN CARE W 54 BAG"/>
        <s v="SEPTONA CALM NCARE PANTENOL W 57 BAG"/>
        <s v="SEPTONA ALOE VERA BABY 64 BAG"/>
        <s v="SEPTONA CHAMOMILE BABY 3X64/1GR W BAG"/>
        <s v="SEPTONA CHAMOMILE BABY 64 W BAG"/>
        <s v="SEPTONA CHAMOMILE BABY 64 W BAG KAPAK"/>
        <s v="SEPTONA SENSITIVE ALMOND&amp;MILK W 64 BAG"/>
        <s v="SEPTONA SENSITIVE CALMN CARE W 64 BAG"/>
        <s v="SEPTONA MILD FRAGANCE ALC.FREE W 72 BAG"/>
        <s v="SEPTONA CALM NCARE PANTENOL W 75 BAG"/>
        <s v="SEPTONA CALMN CARE ALOE VERA W 80 BAG"/>
        <s v="IASSMIN BABY CREAM PH5.5 W 72 BAG"/>
        <s v="JUNIOR&amp;TOMMY SENSITIVE W 120 BAG KAPAK"/>
        <s v="NIKI BABY ALC.FREE W 130/10FR BAG KAPAK"/>
        <s v="PEPINO BABY P H5.5 W 120/20FREE BAG"/>
        <s v="PEPINO BABY P H5.5 W 130/10FREE BAG"/>
        <s v="PEPINO BABY SOFT&amp;LUX P H5.5 W 70 BAG"/>
        <s v="RENKLI MAGIC P H5.5 W 120 BAG KAPAK"/>
        <s v="RENKLI PREMIUM BABY ALC.FREE W 130 BAG"/>
        <s v="RENKLI BABY KIDS P H5.5 W 72 BAG"/>
        <s v="RENKLI BABY KIDS P H5.5 W 72 BAG KAPAK"/>
        <s v="RENKLI ZOO ANTIBACTERIAL W 72 BAG KAPAK"/>
        <s v="RENKLI BABY LUX PH5.5 W 2X80 BAG"/>
        <s v="RENKLI BABY LUX W 80 BAG KAPACHE"/>
        <s v="SWEET BABY ALOEVERA PH5.5 W 72 BAG KAPAK"/>
        <s v="FARMACOTONE BEBE CALENDULA SENS. 60 BAG"/>
        <s v="FARMACOTONE BIO ALOE&amp;ALMOND PH5.5 72 BAG"/>
        <s v="VOI MULTI VITAMINS PH5.5 W 100 BAG SINI"/>
        <s v="VOI CREAM LOTION PH5.5 W 120 BAG KAPAK"/>
        <s v="VOI CHAMOMILE PH5.5 W 72 BAG KAPAK"/>
        <s v="VOI CREAM LOTION PH5.5 W 72 BAG KAPAK"/>
        <s v="TOVA  FreshClean PH5.5 W 120 BAG"/>
        <s v="ALVESTA BABY PH5.5 W 120 BAG KAPAK"/>
        <s v="ALVESTA BABY PH5.5 W 72 BAG KAPAK"/>
        <s v="MIS MAK CLEANSE&amp;REFRESH PH5.5 W 72 BAG"/>
        <s v="BIVY BABY NEWBORN W 60 BAG KAPAK"/>
        <s v="BIVY SOFT&amp;FRESH PROVITB5&amp;VITE W 72 BAG"/>
        <s v="DAISY BABY WET WIPES W 120 BAG"/>
        <s v="BEBECAN PH5.5 W 72 BAG TNCR GIDA KAPAK"/>
        <s v="HUGO BABY ALC.FREE W 120 BAG"/>
        <s v="PROSOFT VITE&amp;PROVITB5 W 72 BAG CHERVENI"/>
        <s v="PROSOFT VITE&amp;PROVITB5 W 72 BAG ZELENI"/>
        <s v="UNAC BABY LOTION&amp;VIT.E AL.FREE W 120 BAG"/>
        <s v="DOVE BABY RICHMOISTURE ALC.FREE W 50 BAG"/>
        <s v="DOVE BABY SENSITIVE MOISTURE W 50 BAG"/>
        <s v="BEBECAN BABY PH5.5 W 72 BAG YESIL"/>
        <m/>
      </sharedItems>
    </cacheField>
    <cacheField name="Manufacturer" numFmtId="0">
      <sharedItems containsBlank="1"/>
    </cacheField>
    <cacheField name="Brand" numFmtId="0">
      <sharedItems containsBlank="1" count="141">
        <s v="BABY2000"/>
        <s v="BAMBO NATURE"/>
        <s v="BABY CREMA "/>
        <s v="LINDY "/>
        <s v="LUBA BABY"/>
        <s v="HUGGLO "/>
        <s v="PAPILION "/>
        <s v="PINE "/>
        <s v="TROMPY "/>
        <s v="HAPPY FRESH "/>
        <s v="ULTRA COMPACT "/>
        <s v="KANZ"/>
        <s v="CHICCO "/>
        <s v="UNI "/>
        <s v="EVENT BABY"/>
        <s v="TEX BABY"/>
        <s v="NIVEA BABY"/>
        <s v="SMILE "/>
        <s v="BABYCARE"/>
        <s v="CLEAR SIGHT"/>
        <s v="OKIDOKI "/>
        <s v="BABY WISH "/>
        <s v="COSMI"/>
        <s v="AQUELLA "/>
        <s v="AURA "/>
        <s v="COTTON BABY "/>
        <s v="MIMI NICE"/>
        <s v="MY COMFORT "/>
        <s v="NICE BABY "/>
        <s v="WINEX "/>
        <s v="PADDLERS "/>
        <s v="PURE BABY"/>
        <s v="SLEEPY BABY"/>
        <s v="YESS BABY "/>
        <s v="ELAN "/>
        <s v="SETABLU "/>
        <s v="LIBERO "/>
        <s v="EVY BABY "/>
        <s v="FEMOLE "/>
        <s v="BERFINY "/>
        <s v="FRESH RUNY "/>
        <s v="FRESH MAKER"/>
        <s v="HAPPY ALOE VERA"/>
        <s v="KIDS BABY"/>
        <s v="LIO FRESH "/>
        <s v="NEMDIL "/>
        <s v="PREMIUM QUALITY BABY"/>
        <s v="NAPEEZ BY GRACIA "/>
        <s v="MIKE LINE "/>
        <s v="PRIME TALKO"/>
        <s v="PONKY "/>
        <s v="POZZY "/>
        <s v="CLEANIC "/>
        <s v="PETINO "/>
        <s v="MOLFIX "/>
        <s v="HIMALAYA "/>
        <s v="HIPP BABYSANFT"/>
        <s v="BIONIKE "/>
        <s v="WATER WIPES "/>
        <s v="PAW PATROL "/>
        <s v="PEPPA PIG "/>
        <s v="JOHNSONS "/>
        <s v="MAIA "/>
        <s v="KRISPA "/>
        <s v="FRESH'N SOFT"/>
        <s v="RENKLY"/>
        <s v="HUGGIES "/>
        <s v="KOMILI "/>
        <s v="TANGO "/>
        <s v="MUSTELA "/>
        <s v="LANSINOH "/>
        <s v="LARA BABY"/>
        <s v="PUFY "/>
        <s v="TOP BLITZ "/>
        <s v="CONFY "/>
        <s v="MIMOSA "/>
        <s v="SENCE BABY"/>
        <s v="BABY CARE "/>
        <s v="BABY LINO"/>
        <s v="L'UNICO "/>
        <s v="BIG SOFT "/>
        <s v="HAPPY FAMILY"/>
        <s v="MORS "/>
        <s v="WIPEST "/>
        <s v="NATY "/>
        <s v="FRESH BABY "/>
        <s v="GOLDEN "/>
        <s v="MY FIX "/>
        <s v="PUFFY "/>
        <s v="TITO "/>
        <s v="PUFY BABY"/>
        <s v="SPEEDY CARE "/>
        <s v="CAN BEBE "/>
        <s v="KOPRINA "/>
        <s v="BEBIKO "/>
        <s v="PAPATYA "/>
        <s v="PERFETTO "/>
        <s v="BETTY "/>
        <s v="KLORANE "/>
        <s v="SLIPP "/>
        <s v="MELANI "/>
        <s v="PAMPERS"/>
        <s v="PRIMA "/>
        <s v="URIAGE "/>
        <s v="BIMBO &amp; BIMBA "/>
        <s v="VIBELLE "/>
        <s v="BELUX "/>
        <s v="SECKIN "/>
        <s v="SOFT CARE "/>
        <s v="HOPS "/>
        <s v="DOCTOR WIPES"/>
        <s v="MEDPROFFESIONAL "/>
        <s v="SPRING LINE "/>
        <s v="GIAN "/>
        <s v="SEBAMED "/>
        <s v="MAMMI "/>
        <s v="ASALI "/>
        <s v="COTTON SOFT "/>
        <s v="ELVIM "/>
        <s v="FLAMINGO "/>
        <s v="INCI FRESH"/>
        <s v="SEPTONA "/>
        <s v="IASSMIN "/>
        <s v="JUNIOR &amp; TOMMY "/>
        <s v="NIKI "/>
        <s v="PEPINO "/>
        <s v="RENKLI "/>
        <s v="SWEET  BABY"/>
        <s v="FARMACOTONE "/>
        <s v="VOI "/>
        <s v="TOVA "/>
        <s v="ALVESTA "/>
        <s v="MIS MAK "/>
        <s v="BIVY"/>
        <s v="DAISY "/>
        <s v="BEBECAN "/>
        <s v="HUGO BABY "/>
        <s v="PROSOFT "/>
        <s v="UNAC "/>
        <s v="DOVE "/>
        <m/>
      </sharedItems>
    </cacheField>
    <cacheField name="Package" numFmtId="0">
      <sharedItems containsBlank="1" count="3">
        <s v="BAGS"/>
        <s v="BOX"/>
        <m/>
      </sharedItems>
    </cacheField>
    <cacheField name="Product Attributes" numFmtId="0">
      <sharedItems containsBlank="1" count="7">
        <s v="WITHOUT EXTRA PROTECTCARE INDICATION"/>
        <s v="PH BALANCED"/>
        <s v="ALCOHOL FREE"/>
        <s v="SENSITIVE"/>
        <s v="HYPOALLERGENIC"/>
        <s v="ALCOHOL FREE &amp; HYPOALLERGENIC"/>
        <m/>
      </sharedItems>
    </cacheField>
    <cacheField name="Size" numFmtId="0">
      <sharedItems containsString="0" containsBlank="1" containsNumber="1" containsInteger="1" minValue="10" maxValue="240"/>
    </cacheField>
    <cacheField name="2022 Value" numFmtId="0">
      <sharedItems containsString="0" containsBlank="1" containsNumber="1" minValue="0" maxValue="1663.8369"/>
    </cacheField>
    <cacheField name="2023 Value" numFmtId="0">
      <sharedItems containsString="0" containsBlank="1" containsNumber="1" minValue="0" maxValue="1815.6596999999999"/>
    </cacheField>
    <cacheField name="YTD 24 Value" numFmtId="0">
      <sharedItems containsString="0" containsBlank="1" containsNumber="1" minValue="0" maxValue="1049.2485999999999"/>
    </cacheField>
    <cacheField name="2022 Volume" numFmtId="0">
      <sharedItems containsString="0" containsBlank="1" containsNumber="1" minValue="0" maxValue="62012.672500000001"/>
    </cacheField>
    <cacheField name="2023 Volume" numFmtId="0">
      <sharedItems containsString="0" containsBlank="1" containsNumber="1" minValue="0" maxValue="68679.966"/>
    </cacheField>
    <cacheField name="YTD 24 Volume" numFmtId="0">
      <sharedItems containsString="0" containsBlank="1" containsNumber="1" minValue="0" maxValue="37856.881999999998"/>
    </cacheField>
    <cacheField name="YoY Growth %" numFmtId="0">
      <sharedItems containsBlank="1" count="323">
        <s v="-67.75"/>
        <s v="0.00"/>
        <s v="14.04"/>
        <s v="4.51"/>
        <s v="-11.57"/>
        <s v="-14.94"/>
        <s v="-11.07"/>
        <s v="523.15"/>
        <s v="11.51"/>
        <s v="-39.05"/>
        <s v="-99.87"/>
        <s v="-98.16"/>
        <s v="3975.34"/>
        <s v="-42.10"/>
        <s v="-18.56"/>
        <s v="-85.98"/>
        <s v="79.74"/>
        <s v="480.38"/>
        <s v="-27.66"/>
        <s v="-73.85"/>
        <s v="9.12"/>
        <s v="-79.56"/>
        <s v="-8.09"/>
        <s v="26.59"/>
        <s v="-19.40"/>
        <s v="-7.75"/>
        <s v="-29.81"/>
        <s v="-13.39"/>
        <s v="7.11"/>
        <s v="-4.02"/>
        <s v="-16.28"/>
        <s v="20.07"/>
        <s v="-19.52"/>
        <s v="2.43"/>
        <s v="16.89"/>
        <s v="-68.97"/>
        <s v="4.48"/>
        <s v="78.14"/>
        <s v="-36.07"/>
        <s v="9.08"/>
        <s v="-22.57"/>
        <s v="-29.55"/>
        <s v="-85.30"/>
        <s v="57.18"/>
        <s v="-20.15"/>
        <s v="39.33"/>
        <s v="55.61"/>
        <s v="252.81"/>
        <s v="33.31"/>
        <s v="69.11"/>
        <s v="-57.74"/>
        <s v="-78.29"/>
        <s v="13.00"/>
        <s v="-83.45"/>
        <s v="-29.01"/>
        <s v="-13.62"/>
        <s v="-26.23"/>
        <s v="-83.50"/>
        <s v="-32.56"/>
        <s v="-60.23"/>
        <s v="-46.27"/>
        <s v="25.90"/>
        <s v="353.31"/>
        <s v="17.30"/>
        <s v="-30.23"/>
        <s v="-21.52"/>
        <s v="-95.28"/>
        <s v="-36.39"/>
        <s v="208.84"/>
        <s v="6.88"/>
        <s v="40.57"/>
        <s v="31.47"/>
        <s v="-27.42"/>
        <s v="0.18"/>
        <s v="-48.94"/>
        <s v="-50.92"/>
        <s v="-90.82"/>
        <s v="75.79"/>
        <s v="-62.44"/>
        <s v="-68.82"/>
        <s v="-25.44"/>
        <s v="-52.60"/>
        <s v="143.90"/>
        <s v="141.06"/>
        <s v="63.13"/>
        <s v="18129.49"/>
        <s v="-78.65"/>
        <s v="-94.34"/>
        <s v="-76.83"/>
        <s v="-80.38"/>
        <s v="483.46"/>
        <s v="248.24"/>
        <s v="-97.74"/>
        <s v="-98.22"/>
        <s v="-77.50"/>
        <s v="-72.86"/>
        <s v="-34.33"/>
        <s v="-19.64"/>
        <s v="-65.27"/>
        <s v="-81.52"/>
        <s v="-49.76"/>
        <s v="127.01"/>
        <s v="-28.49"/>
        <s v="-20.00"/>
        <s v="7.23"/>
        <s v="76.91"/>
        <s v="-32.19"/>
        <s v="10.09"/>
        <s v="11.35"/>
        <s v="-15.03"/>
        <s v="53.13"/>
        <s v="-99.80"/>
        <s v="-63.40"/>
        <s v="2.55"/>
        <s v="341124.19"/>
        <s v="20.42"/>
        <s v="-32.84"/>
        <s v="267.03"/>
        <s v="201.63"/>
        <s v="-1.93"/>
        <s v="-83.91"/>
        <s v="-93.92"/>
        <s v="1222.67"/>
        <s v="-71.41"/>
        <s v="-69.60"/>
        <s v="-26.82"/>
        <s v="-6.46"/>
        <s v="47.07"/>
        <s v="-31.16"/>
        <s v="4.70"/>
        <s v="95.48"/>
        <s v="-18.41"/>
        <s v="18.60"/>
        <s v="30.45"/>
        <s v="17.93"/>
        <s v="964.26"/>
        <s v="-72.27"/>
        <s v="-66.57"/>
        <s v="-98.28"/>
        <s v="-94.42"/>
        <s v="-91.83"/>
        <s v="-78.22"/>
        <s v="-54.64"/>
        <s v="24.45"/>
        <s v="1.68"/>
        <s v="-22.54"/>
        <s v="188.17"/>
        <s v="-65.73"/>
        <s v="-36.35"/>
        <s v="35.77"/>
        <s v="-45.34"/>
        <s v="26.48"/>
        <s v="-53.15"/>
        <s v="98.56"/>
        <s v="0.01"/>
        <s v="-18.76"/>
        <s v="10137.07"/>
        <s v="15.93"/>
        <s v="19.16"/>
        <s v="37.26"/>
        <s v="12.78"/>
        <s v="-1.80"/>
        <s v="-3.02"/>
        <s v="54.52"/>
        <s v="-13.70"/>
        <s v="56.59"/>
        <s v="41.34"/>
        <s v="-42.93"/>
        <s v="-27.50"/>
        <s v="-31.73"/>
        <s v="-14.55"/>
        <s v="-4.98"/>
        <s v="-29.82"/>
        <s v="-35.28"/>
        <s v="-45.98"/>
        <s v="11.15"/>
        <s v="11.01"/>
        <s v="6556.95"/>
        <s v="188.55"/>
        <s v="-75.28"/>
        <s v="187.01"/>
        <s v="460.42"/>
        <s v="10.34"/>
        <s v="48.28"/>
        <s v="-93.91"/>
        <s v="-86.20"/>
        <s v="227.40"/>
        <s v="13.68"/>
        <s v="-16.80"/>
        <s v="17.61"/>
        <s v="-89.38"/>
        <s v="-85.39"/>
        <s v="-40.15"/>
        <s v="-50.76"/>
        <s v="-97.61"/>
        <s v="212.18"/>
        <s v="-64.62"/>
        <s v="-53.61"/>
        <s v="-80.91"/>
        <s v="-56.64"/>
        <s v="80.15"/>
        <s v="-43.00"/>
        <s v="24.31"/>
        <s v="-90.12"/>
        <s v="2.07"/>
        <s v="-98.73"/>
        <s v="5806.67"/>
        <s v="-85.54"/>
        <s v="-89.25"/>
        <s v="-33.43"/>
        <s v="12.17"/>
        <s v="-89.75"/>
        <s v="124.28"/>
        <s v="-4.92"/>
        <s v="1354.02"/>
        <s v="7854.90"/>
        <s v="820.81"/>
        <s v="-94.95"/>
        <s v="-61.13"/>
        <s v="-44.45"/>
        <s v="761.36"/>
        <s v="24.76"/>
        <s v="51.36"/>
        <s v="-14.52"/>
        <s v="23.93"/>
        <s v="-76.52"/>
        <s v="-95.52"/>
        <s v="-97.28"/>
        <s v="-80.95"/>
        <s v="-54.43"/>
        <s v="-72.48"/>
        <s v="-38.86"/>
        <s v="-98.39"/>
        <s v="-79.97"/>
        <s v="118.87"/>
        <s v="-96.81"/>
        <s v="32.08"/>
        <s v="-3.91"/>
        <s v="28.16"/>
        <s v="124.04"/>
        <s v="-92.72"/>
        <s v="-95.24"/>
        <s v="-49.18"/>
        <s v="-96.93"/>
        <s v="-96.98"/>
        <s v="-98.57"/>
        <s v="-80.33"/>
        <s v="-69.82"/>
        <s v="-80.58"/>
        <s v="-46.46"/>
        <s v="636.44"/>
        <s v="-95.64"/>
        <s v="-70.65"/>
        <s v="-69.38"/>
        <s v="-13.51"/>
        <s v="-53.97"/>
        <s v="56.44"/>
        <s v="-92.12"/>
        <s v="-82.28"/>
        <s v="-74.09"/>
        <s v="-56.89"/>
        <s v="-3.86"/>
        <s v="199.92"/>
        <s v="283.01"/>
        <s v="-89.42"/>
        <s v="136.24"/>
        <s v="-26.62"/>
        <s v="38.55"/>
        <s v="-74.57"/>
        <s v="-22.62"/>
        <s v="-87.63"/>
        <s v="62.31"/>
        <s v="106.89"/>
        <s v="-97.99"/>
        <s v="-91.90"/>
        <s v="-20.41"/>
        <s v="-28.98"/>
        <s v="-44.08"/>
        <s v="97.38"/>
        <s v="323.22"/>
        <s v="-19.48"/>
        <s v="-17.53"/>
        <s v="-68.54"/>
        <s v="-98.38"/>
        <s v="11.80"/>
        <s v="-7.32"/>
        <s v="-25.06"/>
        <s v="72.14"/>
        <s v="-80.62"/>
        <s v="-42.04"/>
        <s v="38.84"/>
        <s v="50.77"/>
        <s v="-20.97"/>
        <s v="126.02"/>
        <s v="-43.08"/>
        <s v="-86.23"/>
        <s v="-34.25"/>
        <s v="-89.79"/>
        <s v="-49.49"/>
        <s v="-75.72"/>
        <s v="186.26"/>
        <s v="-36.79"/>
        <s v="-88.20"/>
        <s v="60.86"/>
        <s v="-4.34"/>
        <s v="29.90"/>
        <s v="-26.69"/>
        <s v="-21.48"/>
        <s v="-25.38"/>
        <s v="-36.93"/>
        <s v="-48.31"/>
        <s v="-38.13"/>
        <s v="159.69"/>
        <s v="44.01"/>
        <s v="16.08"/>
        <s v="-74.60"/>
        <s v="-60.65"/>
        <s v="-96.57"/>
        <s v="-65.12"/>
        <s v="43.88"/>
        <s v="156.50"/>
        <s v="137.08"/>
        <m/>
      </sharedItems>
    </cacheField>
    <cacheField name="Value growth" numFmtId="0">
      <sharedItems containsString="0" containsBlank="1" containsNumber="1" minValue="-151.82279999999992" maxValue="105.70920000000001"/>
    </cacheField>
    <cacheField name="Volume Drop bwt 2023 to 2025" numFmtId="0">
      <sharedItems containsString="0" containsBlank="1" containsNumber="1" minValue="-2828.6375999999996" maxValue="30823.084000000003"/>
    </cacheField>
    <cacheField name="Volumn drop 2022 to 2023" numFmtId="0">
      <sharedItems containsString="0" containsBlank="1" containsNumber="1" minValue="-6667.2934999999998" maxValue="6903.539300000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BABY2000 CAMOMILLA W 20 BAG ABA SRL"/>
    <x v="0"/>
    <s v="BABY2000"/>
    <s v="BAGS"/>
    <s v="WITHOUT EXTRA PROTECTCARE INDICATION"/>
    <n v="20"/>
    <n v="1.9350000000000001"/>
    <n v="0.624"/>
    <n v="0"/>
    <n v="24.822900000000001"/>
    <n v="9.4085999999999999"/>
    <n v="0"/>
  </r>
  <r>
    <s v="BAMBO NATURE W 80 BAG KAPAK"/>
    <x v="1"/>
    <s v="BAMBO NATURE"/>
    <s v="BAGS"/>
    <s v="WITHOUT EXTRA PROTECTCARE INDICATION"/>
    <n v="80"/>
    <n v="1.09E-2"/>
    <n v="0"/>
    <n v="0"/>
    <n v="0.16"/>
    <n v="0"/>
    <n v="0"/>
  </r>
  <r>
    <s v="BABY CREMA PLAY TIME CAMOMILE W 100 PINK"/>
    <x v="2"/>
    <s v="BABY CREMA "/>
    <s v="BAGS"/>
    <s v="PH BALANCED"/>
    <n v="100"/>
    <n v="81.467399999999998"/>
    <n v="92.903000000000006"/>
    <n v="52.511899999999997"/>
    <n v="2980.7042999999999"/>
    <n v="3415.3553999999999"/>
    <n v="1823.0734"/>
  </r>
  <r>
    <s v="BABYCREMA PLAYTIME CAMOMILE W 100 ORANGE"/>
    <x v="2"/>
    <s v="BABY CREMA "/>
    <s v="BAGS"/>
    <s v="PH BALANCED"/>
    <n v="100"/>
    <n v="165.22800000000001"/>
    <n v="172.68430000000001"/>
    <n v="91.1357"/>
    <n v="5930.9056"/>
    <n v="6183.6273000000001"/>
    <n v="3125.7986999999998"/>
  </r>
  <r>
    <s v="BABY CREMA CAMOMIL W 120 BAG KAPAK"/>
    <x v="2"/>
    <s v="BABY CREMA "/>
    <s v="BAGS"/>
    <s v="PH BALANCED"/>
    <n v="120"/>
    <n v="842.87239999999997"/>
    <n v="745.33579999999995"/>
    <n v="366.95890000000003"/>
    <n v="38888.539799999999"/>
    <n v="31985.000499999998"/>
    <n v="14135.173000000001"/>
  </r>
  <r>
    <s v="BABY CREMA ALOE 15 BAG"/>
    <x v="2"/>
    <s v="BABY CREMA "/>
    <s v="BAGS"/>
    <s v="WITHOUT EXTRA PROTECTCARE INDICATION"/>
    <n v="15"/>
    <n v="12.774800000000001"/>
    <n v="10.866"/>
    <n v="6.7743000000000002"/>
    <n v="151.26679999999999"/>
    <n v="127.18680000000001"/>
    <n v="77.459400000000002"/>
  </r>
  <r>
    <s v="BABY CREMA CAMOMIL W 15 BAG"/>
    <x v="2"/>
    <s v="BABY CREMA "/>
    <s v="BAGS"/>
    <s v="WITHOUT EXTRA PROTECTCARE INDICATION"/>
    <n v="15"/>
    <n v="20.055299999999999"/>
    <n v="17.836099999999998"/>
    <n v="11.187099999999999"/>
    <n v="231.08779999999999"/>
    <n v="217.71180000000001"/>
    <n v="141.00800000000001"/>
  </r>
  <r>
    <s v="BABY CREMA PH5.5 W 3X15/1FR BAG &amp;&amp;&amp;"/>
    <x v="2"/>
    <s v="BABY CREMA "/>
    <s v="BAGS"/>
    <s v="PH BALANCED"/>
    <n v="15"/>
    <n v="1.2461"/>
    <n v="7.7651000000000003"/>
    <n v="2.2378"/>
    <n v="20.960899999999999"/>
    <n v="127.6666"/>
    <n v="33.570999999999998"/>
  </r>
  <r>
    <s v="BABY CREMA WATER 99% W 15 BAG"/>
    <x v="2"/>
    <s v="BABY CREMA "/>
    <s v="BAGS"/>
    <s v="ALCOHOL FREE"/>
    <n v="15"/>
    <n v="9.6471999999999998"/>
    <n v="10.7577"/>
    <n v="7.0723000000000003"/>
    <n v="112.20610000000001"/>
    <n v="131.05279999999999"/>
    <n v="85.719800000000006"/>
  </r>
  <r>
    <s v="BABY CREMA CAMOMIL W 40 BAG"/>
    <x v="2"/>
    <s v="BABY CREMA "/>
    <s v="BAGS"/>
    <s v="WITHOUT EXTRA PROTECTCARE INDICATION"/>
    <n v="40"/>
    <n v="0.1235"/>
    <n v="0"/>
    <n v="0"/>
    <n v="2.2799999999999998"/>
    <n v="0"/>
    <n v="0"/>
  </r>
  <r>
    <s v="BABY CREMA COTTON&amp;PANTENOL W 4X56 BAG"/>
    <x v="2"/>
    <s v="BABY CREMA "/>
    <s v="BAGS"/>
    <s v="PH BALANCED"/>
    <n v="56"/>
    <n v="0"/>
    <n v="0"/>
    <n v="7.1128"/>
    <n v="0"/>
    <n v="0"/>
    <n v="247.09899999999999"/>
  </r>
  <r>
    <s v="BABY CREMA COTTON&amp;PANTENOL W 56 BAG"/>
    <x v="2"/>
    <s v="BABY CREMA "/>
    <s v="BAGS"/>
    <s v="PH BALANCED"/>
    <n v="56"/>
    <n v="0.18310000000000001"/>
    <n v="0.1116"/>
    <n v="0.38700000000000001"/>
    <n v="5.8884999999999996"/>
    <n v="3.7909999999999999"/>
    <n v="14.3827"/>
  </r>
  <r>
    <s v="BABY CREMA ALOE 64 BAG"/>
    <x v="2"/>
    <s v="BABY CREMA "/>
    <s v="BAGS"/>
    <s v="WITHOUT EXTRA PROTECTCARE INDICATION"/>
    <n v="64"/>
    <n v="1.8938999999999999"/>
    <n v="0"/>
    <n v="0.22520000000000001"/>
    <n v="49.9726"/>
    <n v="0"/>
    <n v="6.9500999999999999"/>
  </r>
  <r>
    <s v="BABY CREMA CAMOMIL W 64 BAG"/>
    <x v="2"/>
    <s v="BABY CREMA "/>
    <s v="BAGS"/>
    <s v="WITHOUT EXTRA PROTECTCARE INDICATION"/>
    <n v="64"/>
    <n v="1.3514999999999999"/>
    <n v="1.6999999999999999E-3"/>
    <n v="0"/>
    <n v="37.322600000000001"/>
    <n v="6.4000000000000001E-2"/>
    <n v="0"/>
  </r>
  <r>
    <s v="BABY CREMA PLAY TIME CAMOMIL W 64 BAG"/>
    <x v="2"/>
    <s v="BABY CREMA "/>
    <s v="BAGS"/>
    <s v="PH BALANCED"/>
    <n v="64"/>
    <n v="5.8978000000000002"/>
    <n v="0.1087"/>
    <n v="0"/>
    <n v="169.58080000000001"/>
    <n v="3.3822999999999999"/>
    <n v="0"/>
  </r>
  <r>
    <s v="BABYCREMA CAMOMIL W 4X64 BAG SUPERTSENA"/>
    <x v="2"/>
    <s v="BABY CREMA "/>
    <s v="BAGS"/>
    <s v="ALCOHOL FREE"/>
    <n v="64"/>
    <n v="0.69669999999999999"/>
    <n v="28.392900000000001"/>
    <n v="2.1978"/>
    <n v="25.606300000000001"/>
    <n v="1226.3661999999999"/>
    <n v="96.438800000000001"/>
  </r>
  <r>
    <s v="BABY CREMA ALOE&amp;ALMOND OIL W 72 BAG"/>
    <x v="2"/>
    <s v="BABY CREMA "/>
    <s v="BAGS"/>
    <s v="WITHOUT EXTRA PROTECTCARE INDICATION"/>
    <n v="72"/>
    <n v="117.6534"/>
    <n v="68.117699999999999"/>
    <n v="28.349900000000002"/>
    <n v="3055.9405999999999"/>
    <n v="1781.8513"/>
    <n v="711.07719999999995"/>
  </r>
  <r>
    <s v="BABY CREMA CAMOMIL&amp;ALMOND W 72 BAG"/>
    <x v="2"/>
    <s v="BABY CREMA "/>
    <s v="BAGS"/>
    <s v="WITHOUT EXTRA PROTECTCARE INDICATION"/>
    <n v="72"/>
    <n v="38.677799999999998"/>
    <n v="31.4983"/>
    <n v="9.7551000000000005"/>
    <n v="954.11220000000003"/>
    <n v="803.28520000000003"/>
    <n v="236.19829999999999"/>
  </r>
  <r>
    <s v="BABY CREMA COTTON W 2X72BAG50%OT TS.VTOR"/>
    <x v="2"/>
    <s v="BABY CREMA "/>
    <s v="BAGS"/>
    <s v="PH BALANCED"/>
    <n v="72"/>
    <n v="6.1199999999999997E-2"/>
    <n v="0"/>
    <n v="0"/>
    <n v="1.6046"/>
    <n v="0"/>
    <n v="0"/>
  </r>
  <r>
    <s v="BABY CREMA COTTON&amp;PANTENOL W 72 BAG"/>
    <x v="2"/>
    <s v="BABY CREMA "/>
    <s v="BAGS"/>
    <s v="PH BALANCED"/>
    <n v="72"/>
    <n v="36.521799999999999"/>
    <n v="5.1192000000000002"/>
    <n v="1.1213"/>
    <n v="1199.5277000000001"/>
    <n v="135.36869999999999"/>
    <n v="30.554400000000001"/>
  </r>
  <r>
    <s v="BABY CREMA NEVEN PH5.5 W 72 BAG"/>
    <x v="2"/>
    <s v="BABY CREMA "/>
    <s v="BAGS"/>
    <s v="PH BALANCED"/>
    <n v="72"/>
    <n v="21.958300000000001"/>
    <n v="39.467100000000002"/>
    <n v="10.7844"/>
    <n v="726.31399999999996"/>
    <n v="1508.4713999999999"/>
    <n v="314.52640000000002"/>
  </r>
  <r>
    <s v="BABY CREMA SMRADLIKA PH5.5 W 72 BAG"/>
    <x v="2"/>
    <s v="BABY CREMA "/>
    <s v="BAGS"/>
    <s v="PH BALANCED"/>
    <n v="72"/>
    <n v="27.983599999999999"/>
    <n v="162.41050000000001"/>
    <n v="103.16800000000001"/>
    <n v="928.81529999999998"/>
    <n v="5484.9444999999996"/>
    <n v="3446.0194999999999"/>
  </r>
  <r>
    <s v="BABY CREMA WATER 99% W 72 BAG"/>
    <x v="2"/>
    <s v="BABY CREMA "/>
    <s v="BAGS"/>
    <s v="WITHOUT EXTRA PROTECTCARE INDICATION"/>
    <n v="72"/>
    <n v="221.17019999999999"/>
    <n v="159.9896"/>
    <n v="77.865600000000001"/>
    <n v="6715.8593000000001"/>
    <n v="4333.2687999999998"/>
    <n v="2035.5381"/>
  </r>
  <r>
    <s v="BABYCREMA CAMOMILE W 2X72BAG50%OTTS.VTOR"/>
    <x v="2"/>
    <s v="BABY CREMA "/>
    <s v="BAGS"/>
    <s v="PH BALANCED"/>
    <n v="72"/>
    <n v="6.4486999999999997"/>
    <n v="1.6863999999999999"/>
    <n v="0"/>
    <n v="194.65190000000001"/>
    <n v="50.700299999999999"/>
    <n v="0"/>
  </r>
  <r>
    <s v="BABYCREMA PLAYTIME CAMOMIL W 72 BAG KAPA"/>
    <x v="2"/>
    <s v="BABY CREMA "/>
    <s v="BAGS"/>
    <s v="PH BALANCED"/>
    <n v="72"/>
    <n v="1663.8369"/>
    <n v="1815.6596999999999"/>
    <n v="1049.2485999999999"/>
    <n v="62012.672500000001"/>
    <n v="68679.966"/>
    <n v="37856.881999999998"/>
  </r>
  <r>
    <s v="BABY CREMA ALOE W 80 BAG"/>
    <x v="2"/>
    <s v="BABY CREMA "/>
    <s v="BAGS"/>
    <s v="WITHOUT EXTRA PROTECTCARE INDICATION"/>
    <n v="80"/>
    <n v="1.7698"/>
    <n v="0.36170000000000002"/>
    <n v="0.20810000000000001"/>
    <n v="50.220500000000001"/>
    <n v="12.068099999999999"/>
    <n v="5.4642999999999997"/>
  </r>
  <r>
    <s v="BABY CREMA CAMOMIL W 80 BAG"/>
    <x v="2"/>
    <s v="BABY CREMA "/>
    <s v="BAGS"/>
    <s v="WITHOUT EXTRA PROTECTCARE INDICATION"/>
    <n v="80"/>
    <n v="61.981900000000003"/>
    <n v="56.970199999999998"/>
    <n v="23.8948"/>
    <n v="1524.2099000000001"/>
    <n v="1404.4858999999999"/>
    <n v="554.68420000000003"/>
  </r>
  <r>
    <s v="LINDY VITAMIN E PH5.5 W 120 BAG"/>
    <x v="3"/>
    <s v="LINDY "/>
    <s v="BAGS"/>
    <s v="PH BALANCED"/>
    <n v="120"/>
    <n v="78.227999999999994"/>
    <n v="99.030500000000004"/>
    <n v="56.674100000000003"/>
    <n v="4816.5708000000004"/>
    <n v="5822.6243999999997"/>
    <n v="2923.4182999999998"/>
  </r>
  <r>
    <s v="LINDY ALOE VERA&amp;VIT E W 64 BAG"/>
    <x v="3"/>
    <s v="LINDY "/>
    <s v="BAGS"/>
    <s v="WITHOUT EXTRA PROTECTCARE INDICATION"/>
    <n v="64"/>
    <n v="11.11"/>
    <n v="8.9543999999999997"/>
    <n v="2.2328999999999999"/>
    <n v="523.16819999999996"/>
    <n v="387.32229999999998"/>
    <n v="84.428399999999996"/>
  </r>
  <r>
    <s v="LINDY ALOE VERA&amp;VIT E W 64 BAG KAPAK"/>
    <x v="3"/>
    <s v="LINDY "/>
    <s v="BAGS"/>
    <s v="WITHOUT EXTRA PROTECTCARE INDICATION"/>
    <n v="64"/>
    <n v="79.953000000000003"/>
    <n v="73.757099999999994"/>
    <n v="40.362299999999998"/>
    <n v="3388.3481999999999"/>
    <n v="2840.8843000000002"/>
    <n v="1387.0689"/>
  </r>
  <r>
    <s v="LINDY CAMOMILE W 64 BAG"/>
    <x v="3"/>
    <s v="LINDY "/>
    <s v="BAGS"/>
    <s v="WITHOUT EXTRA PROTECTCARE INDICATION"/>
    <n v="64"/>
    <n v="12.195"/>
    <n v="8.5597999999999992"/>
    <n v="1.6516999999999999"/>
    <n v="553.03880000000004"/>
    <n v="369.83049999999997"/>
    <n v="64.100099999999998"/>
  </r>
  <r>
    <s v="LINDY CAMOMILE W 64 BAG KAPAK"/>
    <x v="3"/>
    <s v="LINDY "/>
    <s v="BAGS"/>
    <s v="WITHOUT EXTRA PROTECTCARE INDICATION"/>
    <n v="64"/>
    <n v="60.510800000000003"/>
    <n v="52.405999999999999"/>
    <n v="30.122800000000002"/>
    <n v="2540.1291999999999"/>
    <n v="2011.4869000000001"/>
    <n v="1066.0352"/>
  </r>
  <r>
    <s v="LINDY CREAM W 64 BAG KAPAK"/>
    <x v="3"/>
    <s v="LINDY "/>
    <s v="BAGS"/>
    <s v="WITHOUT EXTRA PROTECTCARE INDICATION"/>
    <n v="64"/>
    <n v="47.8005"/>
    <n v="51.199100000000001"/>
    <n v="29.6906"/>
    <n v="1970.2177999999999"/>
    <n v="1924.2328"/>
    <n v="1027.8571999999999"/>
  </r>
  <r>
    <s v="LINDY CREAM&amp;VIT.E PH5.5 W 64 BAG"/>
    <x v="3"/>
    <s v="LINDY "/>
    <s v="BAGS"/>
    <s v="PH BALANCED"/>
    <n v="64"/>
    <n v="0"/>
    <n v="3.2536"/>
    <n v="4.3144"/>
    <n v="0"/>
    <n v="139.34979999999999"/>
    <n v="169.84690000000001"/>
  </r>
  <r>
    <s v="LINDY OLIVE OIL EXTR. PH5.5 W 64 BAG"/>
    <x v="3"/>
    <s v="LINDY "/>
    <s v="BAGS"/>
    <s v="PH BALANCED"/>
    <n v="64"/>
    <n v="5.5922000000000001"/>
    <n v="5.3672000000000004"/>
    <n v="2.5727000000000002"/>
    <n v="261.04790000000003"/>
    <n v="232.43600000000001"/>
    <n v="93.995500000000007"/>
  </r>
  <r>
    <s v="LINDY OLIVE OIL EXTR. W 64 BAG KAPAK"/>
    <x v="3"/>
    <s v="LINDY "/>
    <s v="BAGS"/>
    <s v="PH BALANCED"/>
    <n v="64"/>
    <n v="53.490699999999997"/>
    <n v="44.783700000000003"/>
    <n v="26.440899999999999"/>
    <n v="2262.5698000000002"/>
    <n v="1667.4681"/>
    <n v="920.88139999999999"/>
  </r>
  <r>
    <s v="LINDY SENSITIVE COTTON PH5.5 W 64 BAG"/>
    <x v="3"/>
    <s v="LINDY "/>
    <s v="BAGS"/>
    <s v="SENSITIVE"/>
    <n v="64"/>
    <n v="8.2710000000000008"/>
    <n v="9.9309999999999992"/>
    <n v="1.1805000000000001"/>
    <n v="392.0086"/>
    <n v="426.19690000000003"/>
    <n v="46.280799999999999"/>
  </r>
  <r>
    <s v="LINDY SENSITIVE W 64 BAG KAPAK"/>
    <x v="3"/>
    <s v="LINDY "/>
    <s v="BAGS"/>
    <s v="SENSITIVE"/>
    <n v="64"/>
    <n v="70.562299999999993"/>
    <n v="56.785600000000002"/>
    <n v="30.796600000000002"/>
    <n v="2842.3220000000001"/>
    <n v="2121.0371"/>
    <n v="1067.8224"/>
  </r>
  <r>
    <s v="LINDY WHITE TEA&amp;VIT E W 64 BAG"/>
    <x v="3"/>
    <s v="LINDY "/>
    <s v="BAGS"/>
    <s v="PH BALANCED"/>
    <n v="64"/>
    <n v="34.495899999999999"/>
    <n v="35.333399999999997"/>
    <n v="28.078199999999999"/>
    <n v="1446.3839"/>
    <n v="1359.9783"/>
    <n v="967.9162"/>
  </r>
  <r>
    <s v="LINDY PREMIUM LAVENDER W 90 BAG KAPAK"/>
    <x v="3"/>
    <s v="LINDY "/>
    <s v="BAGS"/>
    <s v="ALCOHOL FREE"/>
    <n v="90"/>
    <n v="49.5715"/>
    <n v="57.943199999999997"/>
    <n v="41.595799999999997"/>
    <n v="2203.8969999999999"/>
    <n v="2377.6914999999999"/>
    <n v="1614.8326999999999"/>
  </r>
  <r>
    <s v="LUBA BABY B5&amp;VIT E PH5.5W 120 BAG"/>
    <x v="4"/>
    <s v="LUBA BABY"/>
    <s v="BAGS"/>
    <s v="PH BALANCED"/>
    <n v="120"/>
    <n v="0"/>
    <n v="0"/>
    <n v="5.7117000000000004"/>
    <n v="0"/>
    <n v="0"/>
    <n v="338.46300000000002"/>
  </r>
  <r>
    <s v="LUBA BABY B5&amp;VIT E PH5.5 90 W BAG"/>
    <x v="4"/>
    <s v="LUBA BABY"/>
    <s v="BAGS"/>
    <s v="PH BALANCED"/>
    <n v="90"/>
    <n v="0"/>
    <n v="4.4634999999999998"/>
    <n v="0.1893"/>
    <n v="0"/>
    <n v="231.33420000000001"/>
    <n v="9.7352000000000007"/>
  </r>
  <r>
    <s v="HUGGLO BABY PH5.5 W 120 BAG KAPAK"/>
    <x v="5"/>
    <s v="HUGGLO "/>
    <s v="BAGS"/>
    <s v="PH BALANCED"/>
    <n v="120"/>
    <n v="0.70520000000000005"/>
    <n v="0"/>
    <n v="0"/>
    <n v="47.325299999999999"/>
    <n v="0"/>
    <n v="0"/>
  </r>
  <r>
    <s v="PAPILION BABY ALOE VERA W 100 BAG KAPAK"/>
    <x v="6"/>
    <s v="PAPILION "/>
    <s v="BAGS"/>
    <s v="PH BALANCED"/>
    <n v="100"/>
    <n v="0.76280000000000003"/>
    <n v="0.23669999999999999"/>
    <n v="0.1135"/>
    <n v="43.074599999999997"/>
    <n v="13.9861"/>
    <n v="6.5488999999999997"/>
  </r>
  <r>
    <s v="PAPILION BABY SENSITIVE W 100 BAG KAPAK"/>
    <x v="6"/>
    <s v="PAPILION "/>
    <s v="BAGS"/>
    <s v="SENSITIVE"/>
    <n v="100"/>
    <n v="14.3467"/>
    <n v="14.9893"/>
    <n v="7.9457000000000004"/>
    <n v="749.43960000000004"/>
    <n v="788.71510000000001"/>
    <n v="388.85250000000002"/>
  </r>
  <r>
    <s v="PAPILION BABY WET CHAMOMILE W 100 BAG"/>
    <x v="6"/>
    <s v="PAPILION "/>
    <s v="BAGS"/>
    <s v="WITHOUT EXTRA PROTECTCARE INDICATION"/>
    <n v="100"/>
    <n v="9.9741999999999997"/>
    <n v="17.767600000000002"/>
    <n v="9.7081"/>
    <n v="530.94489999999996"/>
    <n v="921.25450000000001"/>
    <n v="442.90179999999998"/>
  </r>
  <r>
    <s v="PAPILION BABY WET GREEN APPLE W 100 BAG"/>
    <x v="6"/>
    <s v="PAPILION "/>
    <s v="BAGS"/>
    <s v="WITHOUT EXTRA PROTECTCARE INDICATION"/>
    <n v="100"/>
    <n v="15.1808"/>
    <n v="9.7044999999999995"/>
    <n v="2.6509999999999998"/>
    <n v="814.55730000000005"/>
    <n v="531.53909999999996"/>
    <n v="144.98150000000001"/>
  </r>
  <r>
    <s v="PAPILION BABYWET CHARM.LAVENDER W 100BAG"/>
    <x v="6"/>
    <s v="PAPILION "/>
    <s v="BAGS"/>
    <s v="PH BALANCED"/>
    <n v="100"/>
    <n v="18.2471"/>
    <n v="19.903099999999998"/>
    <n v="8.7614000000000001"/>
    <n v="989.38980000000004"/>
    <n v="1044.1582000000001"/>
    <n v="387.44209999999998"/>
  </r>
  <r>
    <s v="PAPILION BABYWET CHARMINGROSE W 100 BAG"/>
    <x v="6"/>
    <s v="PAPILION "/>
    <s v="BAGS"/>
    <s v="PH BALANCED"/>
    <n v="100"/>
    <n v="13.7898"/>
    <n v="10.6778"/>
    <n v="5.2233000000000001"/>
    <n v="726.86360000000002"/>
    <n v="563.28449999999998"/>
    <n v="268.45999999999998"/>
  </r>
  <r>
    <s v="PAPILION JUMBO WET PH5.5 W 120 BAG KAPAK"/>
    <x v="6"/>
    <s v="PAPILION "/>
    <s v="BAGS"/>
    <s v="PH BALANCED"/>
    <n v="120"/>
    <n v="29.590800000000002"/>
    <n v="20.845300000000002"/>
    <n v="11.449400000000001"/>
    <n v="1741.4848"/>
    <n v="1127.5655999999999"/>
    <n v="585.96109999999999"/>
  </r>
  <r>
    <s v="PAPILION BABY WET SENSITIVE W 72 BAG"/>
    <x v="6"/>
    <s v="PAPILION "/>
    <s v="BAGS"/>
    <s v="SENSITIVE"/>
    <n v="72"/>
    <n v="0.72840000000000005"/>
    <n v="0"/>
    <n v="0"/>
    <n v="51.0182"/>
    <n v="0"/>
    <n v="0"/>
  </r>
  <r>
    <s v="PAPILION YELLOW LILY W 90 BAG KAPAK"/>
    <x v="6"/>
    <s v="PAPILION "/>
    <s v="BAGS"/>
    <s v="ALCOHOL FREE"/>
    <n v="90"/>
    <n v="2.0455000000000001"/>
    <n v="0.30070000000000002"/>
    <n v="9.6000000000000002E-2"/>
    <n v="81.869600000000005"/>
    <n v="11.870100000000001"/>
    <n v="3.7711999999999999"/>
  </r>
  <r>
    <s v="PINE ALOE VERA KREMALI W 120 BAG KAPAK"/>
    <x v="7"/>
    <s v="PINE "/>
    <s v="BAGS"/>
    <s v="WITHOUT EXTRA PROTECTCARE INDICATION"/>
    <n v="120"/>
    <n v="1.0717000000000001"/>
    <n v="1.6845000000000001"/>
    <n v="0.2092"/>
    <n v="53.428199999999997"/>
    <n v="83.401399999999995"/>
    <n v="9.5612999999999992"/>
  </r>
  <r>
    <s v="PINE ALOE VERA KREMALI W 72 BAG KAPAK"/>
    <x v="7"/>
    <s v="PINE "/>
    <s v="BAGS"/>
    <s v="WITHOUT EXTRA PROTECTCARE INDICATION"/>
    <n v="72"/>
    <n v="0.46760000000000002"/>
    <n v="0.37340000000000001"/>
    <n v="0.47289999999999999"/>
    <n v="17.929200000000002"/>
    <n v="13.441700000000001"/>
    <n v="18.149699999999999"/>
  </r>
  <r>
    <s v="TROMPY 20 BAG"/>
    <x v="8"/>
    <s v="TROMPY "/>
    <s v="BAGS"/>
    <s v="WITHOUT EXTRA PROTECTCARE INDICATION"/>
    <n v="20"/>
    <n v="4.4499999999999998E-2"/>
    <n v="6.2E-2"/>
    <n v="0"/>
    <n v="0.36759999999999998"/>
    <n v="0.48380000000000001"/>
    <n v="0"/>
  </r>
  <r>
    <s v="HAPPY FRESH BABY W 72 BAG KAPAK"/>
    <x v="9"/>
    <s v="HAPPY FRESH "/>
    <s v="BAGS"/>
    <s v="WITHOUT EXTRA PROTECTCARE INDICATION"/>
    <n v="72"/>
    <n v="3.3401000000000001"/>
    <n v="5.1974"/>
    <n v="3.7094999999999998"/>
    <n v="168.65979999999999"/>
    <n v="278.62639999999999"/>
    <n v="222.0746"/>
  </r>
  <r>
    <s v="ULTRA COMPACT ANGELS ALC.FREE W 120 BAG"/>
    <x v="9"/>
    <s v="ULTRA COMPACT "/>
    <s v="BAGS"/>
    <s v="ALCOHOL FREE"/>
    <n v="120"/>
    <n v="1.2582"/>
    <n v="4.4390999999999998"/>
    <n v="0.70909999999999995"/>
    <n v="67.526600000000002"/>
    <n v="226.15649999999999"/>
    <n v="33.759099999999997"/>
  </r>
  <r>
    <s v="ULTRA COMPACT MOMO CREAMY W 120 BAG"/>
    <x v="9"/>
    <s v="ULTRA COMPACT "/>
    <s v="BAGS"/>
    <s v="ALCOHOL FREE"/>
    <n v="120"/>
    <n v="4.5986000000000002"/>
    <n v="6.1303000000000001"/>
    <n v="2.8555999999999999"/>
    <n v="228.69929999999999"/>
    <n v="310.51369999999997"/>
    <n v="123.6022"/>
  </r>
  <r>
    <s v="ULTRA COMPACT ANGELS ALC.FREE W 72 BAG"/>
    <x v="9"/>
    <s v="ULTRA COMPACT "/>
    <s v="BAGS"/>
    <s v="ALCOHOL FREE"/>
    <n v="72"/>
    <n v="0.94640000000000002"/>
    <n v="1.6005"/>
    <n v="1.0179"/>
    <n v="54.868499999999997"/>
    <n v="87.027500000000003"/>
    <n v="38.080399999999997"/>
  </r>
  <r>
    <s v="ULTRACOMPACT BABY PH5.5 ALC.FREE W 72 BA"/>
    <x v="9"/>
    <s v="ULTRA COMPACT "/>
    <s v="BAGS"/>
    <s v="PH BALANCED"/>
    <n v="72"/>
    <n v="1.8199000000000001"/>
    <n v="0.76910000000000001"/>
    <n v="0.73480000000000001"/>
    <n v="83.522300000000001"/>
    <n v="35.127499999999998"/>
    <n v="37.258200000000002"/>
  </r>
  <r>
    <s v="KANZ NATURAL SENS.SKIN ALC.FREE W120 BAG"/>
    <x v="10"/>
    <s v="KANZ"/>
    <s v="BAGS"/>
    <s v="ALCOHOL FREE"/>
    <n v="120"/>
    <n v="0"/>
    <n v="10.5616"/>
    <n v="42.6479"/>
    <n v="0"/>
    <n v="483.39569999999998"/>
    <n v="1689.356"/>
  </r>
  <r>
    <s v="KANZ EXTRA SOFT ALC.FREE W 50 BAG"/>
    <x v="10"/>
    <s v="KANZ"/>
    <s v="BAGS"/>
    <s v="ALCOHOL FREE"/>
    <n v="50"/>
    <n v="0"/>
    <n v="2.0855999999999999"/>
    <n v="2.5316000000000001"/>
    <n v="0"/>
    <n v="61.262700000000002"/>
    <n v="71.165300000000002"/>
  </r>
  <r>
    <s v="KANZ ULTRA SOFT ALC.FREE W 72 BAG"/>
    <x v="10"/>
    <s v="KANZ"/>
    <s v="BAGS"/>
    <s v="ALCOHOL FREE"/>
    <n v="72"/>
    <n v="0"/>
    <n v="0.54479999999999995"/>
    <n v="7.6315999999999997"/>
    <n v="0"/>
    <n v="20.880700000000001"/>
    <n v="330.70479999999998"/>
  </r>
  <r>
    <s v="CHICCO SALVIETTINE SENSITIVE W 60 BAG"/>
    <x v="11"/>
    <s v="CHICCO "/>
    <s v="BAGS"/>
    <s v="SENSITIVE"/>
    <n v="60"/>
    <n v="0"/>
    <n v="1.5012000000000001"/>
    <n v="0.18310000000000001"/>
    <n v="0"/>
    <n v="36.194499999999998"/>
    <n v="4.9927999999999999"/>
  </r>
  <r>
    <s v="CHICCO SALVIETTINE PARABENI W 72 BAG"/>
    <x v="11"/>
    <s v="CHICCO "/>
    <s v="BAGS"/>
    <s v="ALCOHOL FREE"/>
    <n v="72"/>
    <n v="3.1665000000000001"/>
    <n v="0.6875"/>
    <n v="0.27989999999999998"/>
    <n v="65.203199999999995"/>
    <n v="14.1759"/>
    <n v="5.1737000000000002"/>
  </r>
  <r>
    <s v="UNI COMFORT LOTION P H5.5 72 BAG"/>
    <x v="12"/>
    <s v="UNI "/>
    <s v="BAGS"/>
    <s v="PH BALANCED"/>
    <n v="72"/>
    <n v="0"/>
    <n v="0"/>
    <n v="5.57E-2"/>
    <n v="0"/>
    <n v="0"/>
    <n v="1.7425999999999999"/>
  </r>
  <r>
    <s v="EVENT BABY CALENDULA 140 BAG KAPAK"/>
    <x v="13"/>
    <s v="EVENT BABY"/>
    <s v="BAGS"/>
    <s v="PH BALANCED"/>
    <n v="140"/>
    <n v="209.29769999999999"/>
    <n v="236.50559999999999"/>
    <n v="198.2927"/>
    <n v="7336.5478999999996"/>
    <n v="8103.1085000000003"/>
    <n v="7048.5825999999997"/>
  </r>
  <r>
    <s v="EVENT BABY CALENDULA 140 BAG KAPAK+WIP"/>
    <x v="13"/>
    <s v="EVENT BABY"/>
    <s v="BAGS"/>
    <s v="PH BALANCED"/>
    <n v="140"/>
    <n v="2.7799999999999998E-2"/>
    <n v="4.5999999999999999E-3"/>
    <n v="0"/>
    <n v="1.2"/>
    <n v="0.2"/>
    <n v="0"/>
  </r>
  <r>
    <s v="EVENT BABY MOIST.CHAMOMILE 20 W BAG"/>
    <x v="13"/>
    <s v="EVENT BABY"/>
    <s v="BAGS"/>
    <s v="PH BALANCED"/>
    <n v="20"/>
    <n v="27.777100000000001"/>
    <n v="19.717700000000001"/>
    <n v="14.4848"/>
    <n v="429.91730000000001"/>
    <n v="309.96710000000002"/>
    <n v="229.3313"/>
  </r>
  <r>
    <s v="EVENT BABY SENSIT. ALOE VERA 20 BAG"/>
    <x v="13"/>
    <s v="EVENT BABY"/>
    <s v="BAGS"/>
    <s v="SENSITIVE"/>
    <n v="20"/>
    <n v="40.515599999999999"/>
    <n v="34.999099999999999"/>
    <n v="5.7746000000000004"/>
    <n v="630.63189999999997"/>
    <n v="558.36739999999998"/>
    <n v="90.998999999999995"/>
  </r>
  <r>
    <s v="EVENT BABY CALENDULA W 25 BAG"/>
    <x v="13"/>
    <s v="EVENT BABY"/>
    <s v="BAGS"/>
    <s v="PH BALANCED"/>
    <n v="25"/>
    <n v="61.397500000000001"/>
    <n v="45.295999999999999"/>
    <n v="19.337599999999998"/>
    <n v="1027.2618"/>
    <n v="758.06629999999996"/>
    <n v="328.18349999999998"/>
  </r>
  <r>
    <s v="EVENT BABY CALENDULA W 25 BAG+WIP 140"/>
    <x v="13"/>
    <s v="EVENT BABY"/>
    <s v="BAGS"/>
    <s v="PH BALANCED"/>
    <n v="25"/>
    <n v="1.03E-2"/>
    <n v="1.6999999999999999E-3"/>
    <n v="0"/>
    <n v="0.21429999999999999"/>
    <n v="3.5700000000000003E-2"/>
    <n v="0"/>
  </r>
  <r>
    <s v="EVENT BABY CALENDULA HYPOALL.W 30 BAG"/>
    <x v="13"/>
    <s v="EVENT BABY"/>
    <s v="BAGS"/>
    <s v="HYPOALLERGENIC"/>
    <n v="30"/>
    <n v="0"/>
    <n v="0"/>
    <n v="8.3928999999999991"/>
    <n v="0"/>
    <n v="0"/>
    <n v="185.37119999999999"/>
  </r>
  <r>
    <s v="EVENT BABY HYPOAL.CALENDULA 64 W BAG"/>
    <x v="13"/>
    <s v="EVENT BABY"/>
    <s v="BAGS"/>
    <s v="HYPOALLERGENIC"/>
    <n v="64"/>
    <n v="11.2281"/>
    <n v="7.5716999999999999"/>
    <n v="1.9255"/>
    <n v="325.11810000000003"/>
    <n v="236.1233"/>
    <n v="61.869799999999998"/>
  </r>
  <r>
    <s v="EVENT BABY HYPOALL.CHAMOMILE 72 W BAG"/>
    <x v="13"/>
    <s v="EVENT BABY"/>
    <s v="BAGS"/>
    <s v="HYPOALLERGENIC"/>
    <n v="72"/>
    <n v="56.268599999999999"/>
    <n v="22.377800000000001"/>
    <n v="12.435499999999999"/>
    <n v="1799.2518"/>
    <n v="721.99059999999997"/>
    <n v="385.45190000000002"/>
  </r>
  <r>
    <s v="EVENT BABY MOIST.CHAMOMILE 72 W BAG"/>
    <x v="13"/>
    <s v="EVENT BABY"/>
    <s v="BAGS"/>
    <s v="WITHOUT EXTRA PROTECTCARE INDICATION"/>
    <n v="72"/>
    <n v="0.64159999999999995"/>
    <n v="0.34470000000000001"/>
    <n v="0"/>
    <n v="14.463900000000001"/>
    <n v="7.3648999999999996"/>
    <n v="0"/>
  </r>
  <r>
    <s v="EVENT BABY SENSIT. ALOE VERA 72 W BAG"/>
    <x v="13"/>
    <s v="EVENT BABY"/>
    <s v="BAGS"/>
    <s v="SENSITIVE"/>
    <n v="72"/>
    <n v="64.480099999999993"/>
    <n v="81.182500000000005"/>
    <n v="15.496600000000001"/>
    <n v="2159.5493999999999"/>
    <n v="2486.1275000000001"/>
    <n v="493.73469999999998"/>
  </r>
  <r>
    <s v="TEX BABY PH5.5 ALC.FREE W 100 BAG PURPLE"/>
    <x v="14"/>
    <s v="TEX BABY"/>
    <s v="BAGS"/>
    <s v="PH BALANCED"/>
    <n v="100"/>
    <n v="0"/>
    <n v="0"/>
    <n v="0.24490000000000001"/>
    <n v="0"/>
    <n v="0"/>
    <n v="9.7979000000000003"/>
  </r>
  <r>
    <s v="TEX BABY PH5.5 ALC.FREE W 100 BAG YELLOW"/>
    <x v="14"/>
    <s v="TEX BABY"/>
    <s v="BAGS"/>
    <s v="PH BALANCED"/>
    <n v="100"/>
    <n v="0.22359999999999999"/>
    <n v="1.0136000000000001"/>
    <n v="0.81230000000000002"/>
    <n v="12.2155"/>
    <n v="49.151600000000002"/>
    <n v="34.919499999999999"/>
  </r>
  <r>
    <s v="NIVEA BABY SOFT&amp;CREME 20 BAG"/>
    <x v="15"/>
    <s v="NIVEA BABY"/>
    <s v="BAGS"/>
    <s v="WITHOUT EXTRA PROTECTCARE INDICATION"/>
    <n v="20"/>
    <n v="15.0191"/>
    <n v="17.616800000000001"/>
    <n v="13.700200000000001"/>
    <n v="121.4559"/>
    <n v="162.24"/>
    <n v="126.0534"/>
  </r>
  <r>
    <s v="NIVEA BABY TODDIES 2IN1 60 BAG"/>
    <x v="15"/>
    <s v="NIVEA BABY"/>
    <s v="BAGS"/>
    <s v="WITHOUT EXTRA PROTECTCARE INDICATION"/>
    <n v="60"/>
    <n v="19.776399999999999"/>
    <n v="13.798299999999999"/>
    <n v="7.5656999999999996"/>
    <n v="281.97280000000001"/>
    <n v="222.7071"/>
    <n v="118.9547"/>
  </r>
  <r>
    <s v="NIVEA BABY FRESH&amp;PURE 63 BAG"/>
    <x v="15"/>
    <s v="NIVEA BABY"/>
    <s v="BAGS"/>
    <s v="WITHOUT EXTRA PROTECTCARE INDICATION"/>
    <n v="63"/>
    <n v="41.314100000000003"/>
    <n v="32.422600000000003"/>
    <n v="18.6829"/>
    <n v="549.64080000000001"/>
    <n v="416.84789999999998"/>
    <n v="241.38910000000001"/>
  </r>
  <r>
    <s v="NIVEA BABY PURE&amp;SENSITIVE 63 W BAG"/>
    <x v="15"/>
    <s v="NIVEA BABY"/>
    <s v="BAGS"/>
    <s v="ALCOHOL FREE"/>
    <n v="63"/>
    <n v="10.5054"/>
    <n v="0.496"/>
    <n v="0"/>
    <n v="168.06010000000001"/>
    <n v="9.3780000000000001"/>
    <n v="0"/>
  </r>
  <r>
    <s v="NIVEA BABY SOFT&amp;CREME 63 BAG"/>
    <x v="15"/>
    <s v="NIVEA BABY"/>
    <s v="BAGS"/>
    <s v="WITHOUT EXTRA PROTECTCARE INDICATION"/>
    <n v="63"/>
    <n v="26.694099999999999"/>
    <n v="16.9801"/>
    <n v="8.3484999999999996"/>
    <n v="362.30340000000001"/>
    <n v="234.6001"/>
    <n v="111.9991"/>
  </r>
  <r>
    <s v="SMILE ALOE&amp;CAMOMILE PH5.5 60 BAG"/>
    <x v="16"/>
    <s v="SMILE "/>
    <s v="BAGS"/>
    <s v="PH BALANCED"/>
    <n v="60"/>
    <n v="0.52039999999999997"/>
    <n v="1.6072"/>
    <n v="0.16420000000000001"/>
    <n v="10.5198"/>
    <n v="34.4998"/>
    <n v="3.1461000000000001"/>
  </r>
  <r>
    <s v="BABYCARE WITHCREAM W 80/8FREE BAG KAPAK"/>
    <x v="17"/>
    <s v="BABYCARE"/>
    <s v="BAGS"/>
    <s v="PH BALANCED"/>
    <n v="72"/>
    <n v="0"/>
    <n v="3.7900000000000003E-2"/>
    <n v="6.93E-2"/>
    <n v="0"/>
    <n v="2.3294000000000001"/>
    <n v="4.2670000000000003"/>
  </r>
  <r>
    <s v="ClearSight BABY ALOE VERA PH5.5 W 25 BAG"/>
    <x v="18"/>
    <s v="CLEAR SIGHT"/>
    <s v="BAGS"/>
    <s v="PH BALANCED"/>
    <n v="25"/>
    <n v="0"/>
    <n v="8.6E-3"/>
    <n v="13.3878"/>
    <n v="0"/>
    <n v="0.19639999999999999"/>
    <n v="341.02409999999998"/>
  </r>
  <r>
    <s v="ClearSight BABY CALENDULA PH5.5 W 25 BAG"/>
    <x v="18"/>
    <s v="CLEAR SIGHT"/>
    <s v="BAGS"/>
    <s v="PH BALANCED"/>
    <n v="25"/>
    <n v="0"/>
    <n v="4.8898999999999999"/>
    <n v="10.664400000000001"/>
    <n v="0"/>
    <n v="145.9169"/>
    <n v="284.60649999999998"/>
  </r>
  <r>
    <s v="ClearSight BABY CHAMOMILE PH5.5 W 25 BAG"/>
    <x v="18"/>
    <s v="CLEAR SIGHT"/>
    <s v="BAGS"/>
    <s v="PH BALANCED"/>
    <n v="25"/>
    <n v="0"/>
    <n v="5.8544999999999998"/>
    <n v="9.0564"/>
    <n v="0"/>
    <n v="166.38579999999999"/>
    <n v="238.54349999999999"/>
  </r>
  <r>
    <s v="ClearSight BABY CHAMOMILE PH5.5 W 66 BAG"/>
    <x v="18"/>
    <s v="CLEAR SIGHT"/>
    <s v="BAGS"/>
    <s v="PH BALANCED"/>
    <n v="66"/>
    <n v="0"/>
    <n v="0"/>
    <n v="0.9879"/>
    <n v="0"/>
    <n v="0"/>
    <n v="34.929000000000002"/>
  </r>
  <r>
    <s v="ClearSight BABY ALOE VERA PH5.5 W 80 BAG"/>
    <x v="18"/>
    <s v="CLEAR SIGHT"/>
    <s v="BAGS"/>
    <s v="PH BALANCED"/>
    <n v="80"/>
    <n v="15.267200000000001"/>
    <n v="16.318300000000001"/>
    <n v="16.784099999999999"/>
    <n v="431.15870000000001"/>
    <n v="473.67329999999998"/>
    <n v="505.80540000000002"/>
  </r>
  <r>
    <s v="ClearSight BABY CALENDULA PH5.5 W 80 BAG"/>
    <x v="18"/>
    <s v="CLEAR SIGHT"/>
    <s v="BAGS"/>
    <s v="PH BALANCED"/>
    <n v="80"/>
    <n v="9.5295000000000005"/>
    <n v="13.395300000000001"/>
    <n v="18.126999999999999"/>
    <n v="274.45499999999998"/>
    <n v="396.72109999999998"/>
    <n v="559.59109999999998"/>
  </r>
  <r>
    <s v="ClearSight BABY CHAMOMILE PH5.5 W 80 BAG"/>
    <x v="18"/>
    <s v="CLEAR SIGHT"/>
    <s v="BAGS"/>
    <s v="PH BALANCED"/>
    <n v="80"/>
    <n v="11.2293"/>
    <n v="14.7631"/>
    <n v="16.131900000000002"/>
    <n v="318.93810000000002"/>
    <n v="440.8152"/>
    <n v="474.58569999999997"/>
  </r>
  <r>
    <s v="OKIDOKI  FreshClean CAMOMILLA 60 BAG"/>
    <x v="19"/>
    <s v="OKIDOKI "/>
    <s v="BAGS"/>
    <s v="WITHOUT EXTRA PROTECTCARE INDICATION"/>
    <n v="60"/>
    <n v="1.03E-2"/>
    <n v="0"/>
    <n v="0"/>
    <n v="0.3876"/>
    <n v="0"/>
    <n v="0"/>
  </r>
  <r>
    <s v="BABY WISH VITE&amp;PROVITAMINB5 W 120 BAG"/>
    <x v="20"/>
    <s v="BABY WISH "/>
    <s v="BAGS"/>
    <s v="WITHOUT EXTRA PROTECTCARE INDICATION"/>
    <n v="120"/>
    <n v="0"/>
    <n v="1.8077000000000001"/>
    <n v="54.250700000000002"/>
    <n v="0"/>
    <n v="127.6024"/>
    <n v="2956.24"/>
  </r>
  <r>
    <s v="COSMI BABY ARGAN W 20 BAG"/>
    <x v="21"/>
    <s v="COSMI"/>
    <s v="BAGS"/>
    <s v="WITHOUT EXTRA PROTECTCARE INDICATION"/>
    <n v="20"/>
    <n v="0"/>
    <n v="0.1202"/>
    <n v="0"/>
    <n v="0"/>
    <n v="2.4085999999999999"/>
    <n v="0"/>
  </r>
  <r>
    <s v="AQUELLA BABY AMUR WITH CREAM W 120 BAG"/>
    <x v="22"/>
    <s v="AQUELLA "/>
    <s v="BAGS"/>
    <s v="PH BALANCED"/>
    <n v="120"/>
    <n v="28.356999999999999"/>
    <n v="20.580200000000001"/>
    <n v="0.78890000000000005"/>
    <n v="1646.7402"/>
    <n v="1088.8000999999999"/>
    <n v="38.968699999999998"/>
  </r>
  <r>
    <s v="AQUELLA BABY ULTRA SOFT CREAM W 120 BAG"/>
    <x v="22"/>
    <s v="AQUELLA "/>
    <s v="BAGS"/>
    <s v="ALCOHOL FREE"/>
    <n v="120"/>
    <n v="12.003299999999999"/>
    <n v="12.0252"/>
    <n v="1.8045"/>
    <n v="643.41989999999998"/>
    <n v="689.18370000000004"/>
    <n v="98.837400000000002"/>
  </r>
  <r>
    <s v="AQUELLA TROPIC ALC.FREE W 120 BAG"/>
    <x v="22"/>
    <s v="AQUELLA "/>
    <s v="BAGS"/>
    <s v="ALCOHOL FREE"/>
    <n v="120"/>
    <n v="0.11600000000000001"/>
    <n v="0"/>
    <n v="0"/>
    <n v="6.96"/>
    <n v="0"/>
    <n v="0"/>
  </r>
  <r>
    <s v="AQUELLA KIDS BABY ALOEVERA&amp;CREAM W 60BAG"/>
    <x v="22"/>
    <s v="AQUELLA "/>
    <s v="BAGS"/>
    <s v="PH BALANCED"/>
    <n v="60"/>
    <n v="4.6429999999999998"/>
    <n v="2.3708"/>
    <n v="3.8805999999999998"/>
    <n v="208.76240000000001"/>
    <n v="99.124899999999997"/>
    <n v="163.75460000000001"/>
  </r>
  <r>
    <s v="AQUELLA BABY VIT E&amp;PRO B5 W 72 BAG"/>
    <x v="22"/>
    <s v="AQUELLA "/>
    <s v="BAGS"/>
    <s v="ALCOHOL FREE"/>
    <n v="72"/>
    <n v="8.5853000000000002"/>
    <n v="4.2140000000000004"/>
    <n v="0.26250000000000001"/>
    <n v="402.53930000000003"/>
    <n v="207.43709999999999"/>
    <n v="13.0296"/>
  </r>
  <r>
    <s v="AQUELLA KIDS BABY PH5.5 W 72 BAG"/>
    <x v="22"/>
    <s v="AQUELLA "/>
    <s v="BAGS"/>
    <s v="PH BALANCED"/>
    <n v="72"/>
    <n v="0.83140000000000003"/>
    <n v="1.5299999999999999E-2"/>
    <n v="0"/>
    <n v="39.196399999999997"/>
    <n v="0.64800000000000002"/>
    <n v="0"/>
  </r>
  <r>
    <s v="AQUELLA BABY VIT E&amp;PRO B5 W 90 BAG KAPAK"/>
    <x v="22"/>
    <s v="AQUELLA "/>
    <s v="BAGS"/>
    <s v="PH BALANCED"/>
    <n v="90"/>
    <n v="2.9493999999999998"/>
    <n v="0.27079999999999999"/>
    <n v="0"/>
    <n v="169.64840000000001"/>
    <n v="12.904400000000001"/>
    <n v="0"/>
  </r>
  <r>
    <s v="AURA ULTRA COMF. COTTON HYPOALL. W 100 B"/>
    <x v="22"/>
    <s v="AURA "/>
    <s v="BAGS"/>
    <s v="HYPOALLERGENIC"/>
    <n v="100"/>
    <n v="4.0140000000000002"/>
    <n v="0"/>
    <n v="0"/>
    <n v="230.286"/>
    <n v="0"/>
    <n v="0"/>
  </r>
  <r>
    <s v="AURA ULTRA COMFORT COTTON W 63 BAG"/>
    <x v="22"/>
    <s v="AURA "/>
    <s v="BAGS"/>
    <s v="WITHOUT EXTRA PROTECTCARE INDICATION"/>
    <n v="63"/>
    <n v="4.0500000000000001E-2"/>
    <n v="0"/>
    <n v="0"/>
    <n v="2.8330000000000002"/>
    <n v="0"/>
    <n v="0"/>
  </r>
  <r>
    <s v="COTTON BABY UL.SOFT CREAM ALC.FREE W 120"/>
    <x v="22"/>
    <s v="COTTON BABY "/>
    <s v="BAGS"/>
    <s v="ALCOHOL FREE"/>
    <n v="120"/>
    <n v="0.76770000000000005"/>
    <n v="0"/>
    <n v="0"/>
    <n v="46.441400000000002"/>
    <n v="0"/>
    <n v="0"/>
  </r>
  <r>
    <s v="COTTON BABY PH5.5 AL.FREE W 90 BAG KAPAK"/>
    <x v="22"/>
    <s v="COTTON BABY "/>
    <s v="BAGS"/>
    <s v="PH BALANCED"/>
    <n v="90"/>
    <n v="0.86809999999999998"/>
    <n v="0"/>
    <n v="0"/>
    <n v="43.337600000000002"/>
    <n v="0"/>
    <n v="0"/>
  </r>
  <r>
    <s v="MIMI NICE BABY PH5.5 W 15 BAG"/>
    <x v="22"/>
    <s v="MIMI NICE"/>
    <s v="BAGS"/>
    <s v="PH BALANCED"/>
    <n v="15"/>
    <n v="9.5548999999999999"/>
    <n v="16.797000000000001"/>
    <n v="14.8012"/>
    <n v="338.9522"/>
    <n v="643.8528"/>
    <n v="454.05590000000001"/>
  </r>
  <r>
    <s v="MY COMFORT BABY ANGEL PH5.5 W 120 BAG"/>
    <x v="22"/>
    <s v="MY COMFORT "/>
    <s v="BAGS"/>
    <s v="PH BALANCED"/>
    <n v="120"/>
    <n v="21.0763"/>
    <n v="7.9172000000000002"/>
    <n v="0.35720000000000002"/>
    <n v="1178.5386000000001"/>
    <n v="421.82799999999997"/>
    <n v="19.481100000000001"/>
  </r>
  <r>
    <s v="MY COMFORT BABY ARGAN ALK.FREE W 120 BAG"/>
    <x v="22"/>
    <s v="MY COMFORT "/>
    <s v="BAGS"/>
    <s v="ALCOHOL FREE"/>
    <n v="120"/>
    <n v="59.8855"/>
    <n v="18.673500000000001"/>
    <n v="4.4382000000000001"/>
    <n v="3588.4739"/>
    <n v="1054.2443000000001"/>
    <n v="241.28020000000001"/>
  </r>
  <r>
    <s v="NICEBABY PROVITB5&amp;VITE PH5.5 W 120 BAG"/>
    <x v="22"/>
    <s v="NICE BABY "/>
    <s v="BAGS"/>
    <s v="PH BALANCED"/>
    <n v="120"/>
    <n v="37.596899999999998"/>
    <n v="28.031099999999999"/>
    <n v="1.2394000000000001"/>
    <n v="2231.0284000000001"/>
    <n v="1606.1090999999999"/>
    <n v="64.665899999999993"/>
  </r>
  <r>
    <s v="WINEX BABY PH5.5 W 72 BAG"/>
    <x v="22"/>
    <s v="WINEX "/>
    <s v="BAGS"/>
    <s v="PH BALANCED"/>
    <n v="72"/>
    <n v="4.1798000000000002"/>
    <n v="0"/>
    <n v="0"/>
    <n v="212.80930000000001"/>
    <n v="0"/>
    <n v="0"/>
  </r>
  <r>
    <s v="WINEX BABY PROVITB5&amp;VIT.F PH5.5 W 72 BAG"/>
    <x v="22"/>
    <s v="WINEX "/>
    <s v="BAGS"/>
    <s v="PH BALANCED"/>
    <n v="72"/>
    <n v="16.9573"/>
    <n v="8.0383999999999993"/>
    <n v="4.7045000000000003"/>
    <n v="973.13670000000002"/>
    <n v="460.75880000000001"/>
    <n v="246.6643"/>
  </r>
  <r>
    <s v="PADDLERS SOFT&amp;CREAM PROVITB5&amp;VITE W 120"/>
    <x v="23"/>
    <s v="PADDLERS "/>
    <s v="BAGS"/>
    <s v="ALCOHOL FREE"/>
    <n v="120"/>
    <n v="8.9794"/>
    <n v="0"/>
    <n v="0"/>
    <n v="618.46879999999999"/>
    <n v="0"/>
    <n v="0"/>
  </r>
  <r>
    <s v="PURE BABY JUMBO PH5.5 W 120 BAG"/>
    <x v="24"/>
    <s v="PURE BABY"/>
    <s v="BAGS"/>
    <s v="PH BALANCED"/>
    <n v="120"/>
    <n v="0"/>
    <n v="9.4999999999999998E-3"/>
    <n v="0"/>
    <n v="0"/>
    <n v="0.51649999999999996"/>
    <n v="0"/>
  </r>
  <r>
    <s v="SLEEPY BABY SENSITIVE 110 W BAG KAPAK"/>
    <x v="24"/>
    <s v="SLEEPY BABY"/>
    <s v="BAGS"/>
    <s v="SENSITIVE"/>
    <n v="110"/>
    <n v="0.34189999999999998"/>
    <n v="0"/>
    <n v="0"/>
    <n v="17.095199999999998"/>
    <n v="0"/>
    <n v="0"/>
  </r>
  <r>
    <s v="SLEEPY BABY APPLE AL.FREE W 120 BAG"/>
    <x v="24"/>
    <s v="SLEEPY BABY"/>
    <s v="BAGS"/>
    <s v="ALCOHOL FREE"/>
    <n v="120"/>
    <n v="0"/>
    <n v="36.513300000000001"/>
    <n v="9.9184000000000001"/>
    <n v="0"/>
    <n v="2225.7903999999999"/>
    <n v="665.84569999999997"/>
  </r>
  <r>
    <s v="SLEEPY BABY LEMON AL.FREE W 120 BAG"/>
    <x v="24"/>
    <s v="SLEEPY BABY"/>
    <s v="BAGS"/>
    <s v="ALCOHOL FREE"/>
    <n v="120"/>
    <n v="0"/>
    <n v="28.314"/>
    <n v="9.1574000000000009"/>
    <n v="0"/>
    <n v="1712.6693"/>
    <n v="592.38390000000004"/>
  </r>
  <r>
    <s v="SLEEPY BABY ORANGE AL.FREE W 120 BAG"/>
    <x v="24"/>
    <s v="SLEEPY BABY"/>
    <s v="BAGS"/>
    <s v="ALCOHOL FREE"/>
    <n v="120"/>
    <n v="0"/>
    <n v="24.999500000000001"/>
    <n v="5.0659999999999998"/>
    <n v="0"/>
    <n v="1534.4268"/>
    <n v="349.95659999999998"/>
  </r>
  <r>
    <s v="SLEEPY BABY PH5.5 120 W BAG KAPAK"/>
    <x v="24"/>
    <s v="SLEEPY BABY"/>
    <s v="BAGS"/>
    <s v="PH BALANCED"/>
    <n v="120"/>
    <n v="25.1"/>
    <n v="61.22"/>
    <n v="8.9021000000000008"/>
    <n v="1136.2986000000001"/>
    <n v="3402.5661"/>
    <n v="613.3809"/>
  </r>
  <r>
    <s v="SLEEPY STRAWBERRY BABY AL.FREE 120 W BAG"/>
    <x v="24"/>
    <s v="SLEEPY BABY"/>
    <s v="BAGS"/>
    <s v="ALCOHOL FREE"/>
    <n v="120"/>
    <n v="0"/>
    <n v="18.822399999999998"/>
    <n v="7.1738"/>
    <n v="0"/>
    <n v="1176.8929000000001"/>
    <n v="487.85019999999997"/>
  </r>
  <r>
    <s v="SLEEPY BABY MIXED FRUIT PH5.5 15 W BAG"/>
    <x v="24"/>
    <s v="SLEEPY BABY"/>
    <s v="BAGS"/>
    <s v="PH BALANCED"/>
    <n v="15"/>
    <n v="1.24"/>
    <n v="2.9891000000000001"/>
    <n v="0.81240000000000001"/>
    <n v="69.486800000000002"/>
    <n v="154.24979999999999"/>
    <n v="41.637500000000003"/>
  </r>
  <r>
    <s v="SLEEPY BABY PH5.5 70 W BAG"/>
    <x v="24"/>
    <s v="SLEEPY BABY"/>
    <s v="BAGS"/>
    <s v="PH BALANCED"/>
    <n v="70"/>
    <n v="1.1599999999999999"/>
    <n v="1.8923000000000001"/>
    <n v="0"/>
    <n v="44.862200000000001"/>
    <n v="87.694800000000001"/>
    <n v="0"/>
  </r>
  <r>
    <s v="SLEEPY  FreshClean 90 W BAG KAPAK"/>
    <x v="24"/>
    <s v="SLEEPY BABY"/>
    <s v="BAGS"/>
    <s v="WITHOUT EXTRA PROTECTCARE INDICATION"/>
    <n v="90"/>
    <n v="0"/>
    <n v="14.477"/>
    <n v="3.1046999999999998"/>
    <n v="0"/>
    <n v="762.29949999999997"/>
    <n v="149.91970000000001"/>
  </r>
  <r>
    <s v="YESS BABY ALC.FREE W 120 BAG"/>
    <x v="24"/>
    <s v="YESS BABY "/>
    <s v="BAGS"/>
    <s v="ALCOHOL FREE"/>
    <n v="120"/>
    <n v="0.25940000000000002"/>
    <n v="47.287300000000002"/>
    <n v="13.3363"/>
    <n v="15.5664"/>
    <n v="2338.1842000000001"/>
    <n v="671.9117"/>
  </r>
  <r>
    <s v="YESS BABY ALC.FREE W 15 BAG"/>
    <x v="24"/>
    <s v="YESS BABY "/>
    <s v="BAGS"/>
    <s v="ALCOHOL FREE"/>
    <n v="15"/>
    <n v="0"/>
    <n v="5.6702000000000004"/>
    <n v="10.135199999999999"/>
    <n v="0"/>
    <n v="206.95869999999999"/>
    <n v="365.12360000000001"/>
  </r>
  <r>
    <s v="ELAN SENS.CREAM LOTION W 120 BAG ZELENI"/>
    <x v="25"/>
    <s v="ELAN "/>
    <s v="BAGS"/>
    <s v="SENSITIVE"/>
    <n v="120"/>
    <n v="0"/>
    <n v="82.250100000000003"/>
    <n v="55.842500000000001"/>
    <n v="0"/>
    <n v="5284.8972000000003"/>
    <n v="3137.2123999999999"/>
  </r>
  <r>
    <s v="LAN SENS.CREAM LOTION 120 BAG LILAVI"/>
    <x v="25"/>
    <s v="ELAN "/>
    <s v="BAGS"/>
    <s v="SENSITIVE"/>
    <n v="120"/>
    <n v="0"/>
    <n v="88.414900000000003"/>
    <n v="45.6905"/>
    <n v="0"/>
    <n v="5662.4585999999999"/>
    <n v="2576.6464000000001"/>
  </r>
  <r>
    <s v="SETABLU OAT EXTRACT PH5.5 W 72 BAG KAPAK"/>
    <x v="26"/>
    <s v="SETABLU "/>
    <s v="BAGS"/>
    <s v="PH BALANCED"/>
    <n v="72"/>
    <n v="0.24010000000000001"/>
    <n v="0"/>
    <n v="0"/>
    <n v="10.8056"/>
    <n v="0"/>
    <n v="0"/>
  </r>
  <r>
    <s v="LIBERO ALOE ALC.FREE W 20 BAG"/>
    <x v="27"/>
    <s v="LIBERO "/>
    <s v="BAGS"/>
    <s v="ALCOHOL FREE"/>
    <n v="20"/>
    <n v="8.8999999999999999E-3"/>
    <n v="1.9E-3"/>
    <n v="0"/>
    <n v="0.1"/>
    <n v="0.02"/>
    <n v="0"/>
  </r>
  <r>
    <s v="LIBERO ALOE&amp;CHAMOMILE W 20 BAG"/>
    <x v="27"/>
    <s v="LIBERO "/>
    <s v="BAGS"/>
    <s v="ALCOHOL FREE"/>
    <n v="20"/>
    <n v="3.6436000000000002"/>
    <n v="0.20610000000000001"/>
    <n v="0.1404"/>
    <n v="40.526699999999998"/>
    <n v="2.1286999999999998"/>
    <n v="1.4401999999999999"/>
  </r>
  <r>
    <s v="LIBERO ALOE&amp;CHAMOMILE W 4X64 BAG"/>
    <x v="27"/>
    <s v="LIBERO "/>
    <s v="BAGS"/>
    <s v="ALCOHOL FREE"/>
    <n v="64"/>
    <n v="4.9200000000000001E-2"/>
    <n v="1.14E-2"/>
    <n v="0"/>
    <n v="3.4851000000000001"/>
    <n v="0.25600000000000001"/>
    <n v="0"/>
  </r>
  <r>
    <s v="LIBERO ALOE&amp;CHAMOMILE W 64 BAG"/>
    <x v="27"/>
    <s v="LIBERO "/>
    <s v="BAGS"/>
    <s v="ALCOHOL FREE"/>
    <n v="64"/>
    <n v="4.9882"/>
    <n v="0.97860000000000003"/>
    <n v="0"/>
    <n v="116.9594"/>
    <n v="26.678799999999999"/>
    <n v="0"/>
  </r>
  <r>
    <s v="EVY BABY SOFT CHAMOMILE ALC.FREE W50 BAG"/>
    <x v="28"/>
    <s v="EVY BABY "/>
    <s v="BAGS"/>
    <s v="ALCOHOL FREE"/>
    <n v="50"/>
    <n v="0"/>
    <n v="0"/>
    <n v="0.16420000000000001"/>
    <n v="0"/>
    <n v="0"/>
    <n v="5.0327000000000002"/>
  </r>
  <r>
    <s v="EVY BABY SOFT CHAMOMILE EXTRACT W 56 BAG"/>
    <x v="28"/>
    <s v="EVY BABY "/>
    <s v="BAGS"/>
    <s v="ALCOHOL FREE"/>
    <n v="56"/>
    <n v="2.3513000000000002"/>
    <n v="13.7189"/>
    <n v="5.1338999999999997"/>
    <n v="93.938999999999993"/>
    <n v="476.75330000000002"/>
    <n v="161.36660000000001"/>
  </r>
  <r>
    <s v="EVY BABY CREAMY ALOE VERA MOIST W 60 BAG"/>
    <x v="28"/>
    <s v="EVY BABY "/>
    <s v="BAGS"/>
    <s v="ALCOHOL FREE"/>
    <n v="60"/>
    <n v="7.0484"/>
    <n v="24.545400000000001"/>
    <n v="7.2644000000000002"/>
    <n v="315.70249999999999"/>
    <n v="945.68759999999997"/>
    <n v="273.77960000000002"/>
  </r>
  <r>
    <s v="EVY BABY SOFT CHAMOMILE EXTRACT W 60 BAG"/>
    <x v="28"/>
    <s v="EVY BABY "/>
    <s v="BAGS"/>
    <s v="ALCOHOL FREE"/>
    <n v="60"/>
    <n v="6.2529000000000003"/>
    <n v="0"/>
    <n v="0"/>
    <n v="300.22300000000001"/>
    <n v="0"/>
    <n v="0"/>
  </r>
  <r>
    <s v="FEMOLE FRESH VITE PH5.5 W 72 BAG CHERVEN"/>
    <x v="29"/>
    <s v="FEMOLE "/>
    <s v="BAGS"/>
    <s v="PH BALANCED"/>
    <n v="72"/>
    <n v="1.6668000000000001"/>
    <n v="3.7600000000000001E-2"/>
    <n v="0"/>
    <n v="75.837299999999999"/>
    <n v="1.6555"/>
    <n v="0"/>
  </r>
  <r>
    <s v="FEMOLE FRESHBABY VITE PH5.5 W 72 BAG SIN"/>
    <x v="29"/>
    <s v="FEMOLE "/>
    <s v="BAGS"/>
    <s v="PH BALANCED"/>
    <n v="72"/>
    <n v="7.5975000000000001"/>
    <n v="0.1353"/>
    <n v="3.0000000000000001E-3"/>
    <n v="283.12259999999998"/>
    <n v="3.3016999999999999"/>
    <n v="7.1999999999999995E-2"/>
  </r>
  <r>
    <s v="BERFINY CLASSIC BABY W 72 BAG"/>
    <x v="30"/>
    <s v="BERFINY "/>
    <s v="BAGS"/>
    <s v="ALCOHOL FREE"/>
    <n v="72"/>
    <n v="2.5741999999999998"/>
    <n v="0.57930000000000004"/>
    <n v="9.0300000000000005E-2"/>
    <n v="138.52269999999999"/>
    <n v="28.2058"/>
    <n v="3.9451999999999998"/>
  </r>
  <r>
    <s v="BERFINY EXTRA BABY W 72 BAG"/>
    <x v="30"/>
    <s v="BERFINY "/>
    <s v="BAGS"/>
    <s v="WITHOUT EXTRA PROTECTCARE INDICATION"/>
    <n v="72"/>
    <n v="0"/>
    <n v="3.2000000000000002E-3"/>
    <n v="0"/>
    <n v="0"/>
    <n v="0.14879999999999999"/>
    <n v="0"/>
  </r>
  <r>
    <s v="FRESH RUNY BABY PH5.5 ALC.FREE W 120 BAG"/>
    <x v="30"/>
    <s v="FRESH RUNY "/>
    <s v="BAGS"/>
    <s v="PH BALANCED"/>
    <n v="120"/>
    <n v="29.782299999999999"/>
    <n v="8.0821000000000005"/>
    <n v="2.2058"/>
    <n v="1812.3146999999999"/>
    <n v="442.9864"/>
    <n v="129.73259999999999"/>
  </r>
  <r>
    <s v="FRESH RUNY BABY MILK&amp;HONEY W 64 BAG"/>
    <x v="30"/>
    <s v="FRESH RUNY "/>
    <s v="BAGS"/>
    <s v="WITHOUT EXTRA PROTECTCARE INDICATION"/>
    <n v="64"/>
    <n v="0.4194"/>
    <n v="0.27539999999999998"/>
    <n v="7.5600000000000001E-2"/>
    <n v="22.036999999999999"/>
    <n v="13.908200000000001"/>
    <n v="3.7229000000000001"/>
  </r>
  <r>
    <s v="FRESH MAKER BABY PH5.5 W 120 BAG JUMBO"/>
    <x v="30"/>
    <s v="FRESH MAKER"/>
    <s v="BAGS"/>
    <s v="PH BALANCED"/>
    <n v="120"/>
    <n v="393.93759999999997"/>
    <n v="316.5532"/>
    <n v="120.4361"/>
    <n v="20334.628400000001"/>
    <n v="15456.115599999999"/>
    <n v="5660.8364000000001"/>
  </r>
  <r>
    <s v="FRESH MAKER BABY CREAM W 120/48FREE BAG"/>
    <x v="30"/>
    <s v="FRESH MAKER"/>
    <s v="BAGS"/>
    <s v="PH BALANCED"/>
    <n v="72"/>
    <n v="11.008699999999999"/>
    <n v="0"/>
    <n v="0"/>
    <n v="653.37990000000002"/>
    <n v="0"/>
    <n v="0"/>
  </r>
  <r>
    <s v="FRESH MAKER BABY CREAM W 72 BAG"/>
    <x v="30"/>
    <s v="FRESH MAKER"/>
    <s v="BAGS"/>
    <s v="PH BALANCED"/>
    <n v="72"/>
    <n v="6.3380999999999998"/>
    <n v="2.2010000000000001"/>
    <n v="4.9340999999999999"/>
    <n v="360.70839999999998"/>
    <n v="122.7465"/>
    <n v="260.16239999999999"/>
  </r>
  <r>
    <s v="FRESH MAKER BABY CREAM W 72 BAG KAPAK"/>
    <x v="30"/>
    <s v="FRESH MAKER"/>
    <s v="BAGS"/>
    <s v="PH BALANCED"/>
    <n v="72"/>
    <n v="17.2865"/>
    <n v="3.1953"/>
    <n v="0"/>
    <n v="1104.6166000000001"/>
    <n v="157.0744"/>
    <n v="0"/>
  </r>
  <r>
    <s v="FRESH MAKER BABY CREAM W 96/24FREE BAG"/>
    <x v="30"/>
    <s v="FRESH MAKER"/>
    <s v="BAGS"/>
    <s v="WITHOUT EXTRA PROTECTCARE INDICATION"/>
    <n v="72"/>
    <n v="8.3360000000000003"/>
    <n v="4.1882999999999999"/>
    <n v="0.16869999999999999"/>
    <n v="355.34039999999999"/>
    <n v="181.6489"/>
    <n v="7.0335999999999999"/>
  </r>
  <r>
    <s v="FRESH MAKER BABY W 72 BAG"/>
    <x v="30"/>
    <s v="FRESH MAKER"/>
    <s v="BAGS"/>
    <s v="ALCOHOL FREE"/>
    <n v="72"/>
    <n v="10.51"/>
    <n v="23.858699999999999"/>
    <n v="12.9741"/>
    <n v="602.08569999999997"/>
    <n v="1188.0914"/>
    <n v="658.29200000000003"/>
  </r>
  <r>
    <s v="FRESH MAKER BABY WITH CREAM W 72 BAG"/>
    <x v="30"/>
    <s v="FRESH MAKER"/>
    <s v="BAGS"/>
    <s v="PH BALANCED"/>
    <n v="72"/>
    <n v="0.1246"/>
    <n v="0"/>
    <n v="4.1500000000000002E-2"/>
    <n v="7.4763999999999999"/>
    <n v="0"/>
    <n v="3.0169000000000001"/>
  </r>
  <r>
    <s v="FRESH MAKER ALOE VERA PH5.5 W 90 BAG"/>
    <x v="30"/>
    <s v="FRESH MAKER"/>
    <s v="BAGS"/>
    <s v="PH BALANCED"/>
    <n v="90"/>
    <n v="0"/>
    <n v="1.9545999999999999"/>
    <n v="2.1882000000000001"/>
    <n v="0"/>
    <n v="80.589100000000002"/>
    <n v="78.875"/>
  </r>
  <r>
    <s v="FRESH MAKER SENSITIVE ALC.FREE W 90 BAG"/>
    <x v="30"/>
    <s v="FRESH MAKER"/>
    <s v="BAGS"/>
    <s v="SENSITIVE"/>
    <n v="90"/>
    <n v="4.02E-2"/>
    <n v="0"/>
    <n v="5.1000000000000004E-3"/>
    <n v="1.9040999999999999"/>
    <n v="0"/>
    <n v="0.1958"/>
  </r>
  <r>
    <s v="HAPPY ALOE VERA W 100 BAG KAPAK"/>
    <x v="30"/>
    <s v="HAPPY ALOE VERA"/>
    <s v="BAGS"/>
    <s v="PH BALANCED"/>
    <n v="100"/>
    <n v="0"/>
    <n v="6.88E-2"/>
    <n v="1.5603"/>
    <n v="0"/>
    <n v="2.9011"/>
    <n v="56.070300000000003"/>
  </r>
  <r>
    <s v="KIDS BABY WET WIPES W 72 BAG KAPACHE"/>
    <x v="30"/>
    <s v="KIDS BABY"/>
    <s v="BAGS"/>
    <s v="PH BALANCED"/>
    <n v="72"/>
    <n v="225.05289999999999"/>
    <n v="160.9256"/>
    <n v="66.089799999999997"/>
    <n v="14096.87"/>
    <n v="9843.2201000000005"/>
    <n v="3643.3836000000001"/>
  </r>
  <r>
    <s v="LIO FRESH BABY CREAM LOTION W 72 BAG"/>
    <x v="30"/>
    <s v="LIO FRESH "/>
    <s v="BAGS"/>
    <s v="ALCOHOL FREE"/>
    <n v="72"/>
    <n v="27.677700000000002"/>
    <n v="22.1416"/>
    <n v="9.0610999999999997"/>
    <n v="1974.3932"/>
    <n v="1482.2675999999999"/>
    <n v="601.1807"/>
  </r>
  <r>
    <s v="NEMDIL BABY ROSE W 120 BAG KAPAK"/>
    <x v="30"/>
    <s v="NEMDIL "/>
    <s v="BAGS"/>
    <s v="ALCOHOL FREE"/>
    <n v="120"/>
    <n v="41.221899999999998"/>
    <n v="44.201300000000003"/>
    <n v="20.616900000000001"/>
    <n v="1922.9742000000001"/>
    <n v="2020.3897999999999"/>
    <n v="923.72320000000002"/>
  </r>
  <r>
    <s v="NEMDIL BABY WITH CREAM W 120 BAG KAPAK"/>
    <x v="30"/>
    <s v="NEMDIL "/>
    <s v="BAGS"/>
    <s v="ALCOHOL FREE"/>
    <n v="120"/>
    <n v="41.486600000000003"/>
    <n v="73.395700000000005"/>
    <n v="40.033299999999997"/>
    <n v="2454.0007999999998"/>
    <n v="4307.1679999999997"/>
    <n v="2180.9749000000002"/>
  </r>
  <r>
    <s v="NEMDIL BABY ALCOHOL FREE W 72 BAG"/>
    <x v="30"/>
    <s v="NEMDIL "/>
    <s v="BAGS"/>
    <s v="ALCOHOL FREE"/>
    <n v="72"/>
    <n v="0"/>
    <n v="0"/>
    <n v="0.36020000000000002"/>
    <n v="0"/>
    <n v="0"/>
    <n v="18.523700000000002"/>
  </r>
  <r>
    <s v="NEMDIL BABY OLIVE OIL CAMOMILE W 72 BAG"/>
    <x v="30"/>
    <s v="NEMDIL "/>
    <s v="BAGS"/>
    <s v="WITHOUT EXTRA PROTECTCARE INDICATION"/>
    <n v="72"/>
    <n v="50.296300000000002"/>
    <n v="34.107599999999998"/>
    <n v="15.9543"/>
    <n v="3350.8564000000001"/>
    <n v="2178.5326"/>
    <n v="866.22"/>
  </r>
  <r>
    <s v="NEMDIL BABYDELUXEALOE&amp;MIK&amp;HONEY W 72KAPA"/>
    <x v="30"/>
    <s v="NEMDIL "/>
    <s v="BAGS"/>
    <s v="WITHOUT EXTRA PROTECTCARE INDICATION"/>
    <n v="72"/>
    <n v="5.0095999999999998"/>
    <n v="5.5152000000000001"/>
    <n v="4.4993999999999996"/>
    <n v="141.5444"/>
    <n v="154.2473"/>
    <n v="124.59650000000001"/>
  </r>
  <r>
    <s v="PREMIUM QUALITY BABY W 72 BAG &amp;&amp;&amp;"/>
    <x v="30"/>
    <s v="PREMIUM QUALITY BABY"/>
    <s v="BAGS"/>
    <s v="ALCOHOL FREE"/>
    <n v="72"/>
    <n v="4.6416000000000004"/>
    <n v="5.1684999999999999"/>
    <n v="0.78010000000000002"/>
    <n v="142.55420000000001"/>
    <n v="145.93899999999999"/>
    <n v="21.435099999999998"/>
  </r>
  <r>
    <s v="PURE BABY LILIUM W 120 BAG KAPAK"/>
    <x v="30"/>
    <s v="PURE BABY"/>
    <s v="BAGS"/>
    <s v="ALCOHOL FREE"/>
    <n v="120"/>
    <n v="137.1788"/>
    <n v="116.5658"/>
    <n v="65.912899999999993"/>
    <n v="7929.3796000000002"/>
    <n v="6740.5910999999996"/>
    <n v="3524.3125"/>
  </r>
  <r>
    <s v="NAPEEZBYGRACIA BABY PH5.5 100 BAG KAPAK"/>
    <x v="31"/>
    <s v="NAPEEZ BY GRACIA "/>
    <s v="BAGS"/>
    <s v="PH BALANCED"/>
    <n v="100"/>
    <n v="14.2293"/>
    <n v="21.789000000000001"/>
    <n v="7.9466000000000001"/>
    <n v="761.61429999999996"/>
    <n v="1129.7994000000001"/>
    <n v="412.24349999999998"/>
  </r>
  <r>
    <s v="MIKE LINE SENSIT.CREAM LOTION W 72 BAG"/>
    <x v="32"/>
    <s v="MIKE LINE "/>
    <s v="BAGS"/>
    <s v="SENSITIVE"/>
    <n v="72"/>
    <n v="7.4866999999999999"/>
    <n v="1.5100000000000001E-2"/>
    <n v="0"/>
    <n v="509.18150000000003"/>
    <n v="0.77590000000000003"/>
    <n v="0"/>
  </r>
  <r>
    <s v="PRIME TALKO SENSITIVE 63 BAG KAPAK"/>
    <x v="33"/>
    <s v="PRIME TALKO"/>
    <s v="BAGS"/>
    <s v="SENSITIVE"/>
    <n v="63"/>
    <n v="1.3945000000000001"/>
    <n v="0"/>
    <n v="0"/>
    <n v="67.202299999999994"/>
    <n v="0"/>
    <n v="0"/>
  </r>
  <r>
    <s v="PRIME BABY ALC.FREE 72 BAG KAPAK"/>
    <x v="33"/>
    <s v="PRIME TALKO"/>
    <s v="BAGS"/>
    <s v="ALCOHOL FREE"/>
    <n v="72"/>
    <n v="7.7927999999999997"/>
    <n v="0"/>
    <n v="0"/>
    <n v="362.96660000000003"/>
    <n v="0"/>
    <n v="0"/>
  </r>
  <r>
    <s v="PONKY BABY W 72 BAG +KAPACHE"/>
    <x v="34"/>
    <s v="PONKY "/>
    <s v="BAGS"/>
    <s v="WITHOUT EXTRA PROTECTCARE INDICATION"/>
    <n v="72"/>
    <n v="63.770400000000002"/>
    <n v="23.340299999999999"/>
    <n v="11.8607"/>
    <n v="2545.3452000000002"/>
    <n v="949.45609999999999"/>
    <n v="459.19099999999997"/>
  </r>
  <r>
    <s v="PONKY BABY WET TOWEL W 72 BAG ZHALTI"/>
    <x v="34"/>
    <s v="PONKY "/>
    <s v="BAGS"/>
    <s v="ALCOHOL FREE"/>
    <n v="72"/>
    <n v="12.7019"/>
    <n v="13.0259"/>
    <n v="5.5613999999999999"/>
    <n v="553.99599999999998"/>
    <n v="562.68320000000006"/>
    <n v="225.62440000000001"/>
  </r>
  <r>
    <s v="POZZY EXTRA MILK&amp;HONEY PH5.5 W 72 BAG"/>
    <x v="34"/>
    <s v="POZZY "/>
    <s v="BAGS"/>
    <s v="PH BALANCED"/>
    <n v="72"/>
    <n v="0.59"/>
    <n v="0"/>
    <n v="0"/>
    <n v="18.470099999999999"/>
    <n v="0"/>
    <n v="0"/>
  </r>
  <r>
    <s v="POZZY EXTRA OLIVE OIL ALC.FREE W 72 BAG"/>
    <x v="34"/>
    <s v="POZZY "/>
    <s v="BAGS"/>
    <s v="ALCOHOL FREE"/>
    <n v="72"/>
    <n v="0.59"/>
    <n v="0"/>
    <n v="0"/>
    <n v="18.470099999999999"/>
    <n v="0"/>
    <n v="0"/>
  </r>
  <r>
    <s v="CLEANIC BABY ATOPICAL D-PANT. PH 50 BAG"/>
    <x v="35"/>
    <s v="CLEANIC "/>
    <s v="BAGS"/>
    <s v="HYPOALLERGENIC"/>
    <n v="50"/>
    <n v="0"/>
    <n v="1.1446000000000001"/>
    <n v="0.29039999999999999"/>
    <n v="0"/>
    <n v="11.6808"/>
    <n v="3.3864000000000001"/>
  </r>
  <r>
    <s v="CLEANIC BABY PROBIOTICAL HYPOAL.50 BAG"/>
    <x v="35"/>
    <s v="CLEANIC "/>
    <s v="BAGS"/>
    <s v="HYPOALLERGENIC"/>
    <n v="50"/>
    <n v="0"/>
    <n v="0.49220000000000003"/>
    <n v="0.1164"/>
    <n v="0"/>
    <n v="4.2202000000000002"/>
    <n v="0.85"/>
  </r>
  <r>
    <s v="CLEANIC BABY VEGEMILK VIT&amp;MIN.50 BAG"/>
    <x v="35"/>
    <s v="CLEANIC "/>
    <s v="BAGS"/>
    <s v="PH BALANCED"/>
    <n v="50"/>
    <n v="0"/>
    <n v="1.4152"/>
    <n v="0.3513"/>
    <n v="0"/>
    <n v="20.5671"/>
    <n v="6.5918999999999999"/>
  </r>
  <r>
    <s v="PETINO DELICATO&amp;FRESH ALANTOIN 120 BAG"/>
    <x v="35"/>
    <s v="PETINO "/>
    <s v="BAGS"/>
    <s v="WITHOUT EXTRA PROTECTCARE INDICATION"/>
    <n v="120"/>
    <n v="6.1999999999999998E-3"/>
    <n v="21.155899999999999"/>
    <n v="10.029400000000001"/>
    <n v="0.32569999999999999"/>
    <n v="1092.0349000000001"/>
    <n v="489.28280000000001"/>
  </r>
  <r>
    <s v="PETINO DELICATO&amp;FRESH ALANTOIN 84/12FR"/>
    <x v="35"/>
    <s v="PETINO "/>
    <s v="BAGS"/>
    <s v="WITHOUT EXTRA PROTECTCARE INDICATION"/>
    <n v="72"/>
    <n v="230.74209999999999"/>
    <n v="277.85789999999997"/>
    <n v="133.2149"/>
    <n v="11792.3397"/>
    <n v="14416.314700000001"/>
    <n v="6626.5474000000004"/>
  </r>
  <r>
    <s v="MOLFIX BABY COTTON PH5.5 W 50 BAG HAYAT"/>
    <x v="36"/>
    <s v="MOLFIX "/>
    <s v="BAGS"/>
    <s v="PH BALANCED"/>
    <n v="50"/>
    <n v="0.37059999999999998"/>
    <n v="0.24890000000000001"/>
    <n v="0"/>
    <n v="9.2727000000000004"/>
    <n v="7.0415000000000001"/>
    <n v="0"/>
  </r>
  <r>
    <s v="MOLFIX BABY IZOT.WATER PANT.&amp;LAN.W 60 BA"/>
    <x v="36"/>
    <s v="MOLFIX "/>
    <s v="BAGS"/>
    <s v="PH BALANCED"/>
    <n v="60"/>
    <n v="29.4162"/>
    <n v="107.9663"/>
    <n v="52.6723"/>
    <n v="866.39819999999997"/>
    <n v="3176.0981999999999"/>
    <n v="1396.3396"/>
  </r>
  <r>
    <s v="MOLFIX BABY LOTION ISO.WATER W 3X60 BAG"/>
    <x v="36"/>
    <s v="MOLFIX "/>
    <s v="BAGS"/>
    <s v="PH BALANCED"/>
    <n v="60"/>
    <n v="2.2702"/>
    <n v="6.8476999999999997"/>
    <n v="4.3963000000000001"/>
    <n v="71.277600000000007"/>
    <n v="210.60059999999999"/>
    <n v="121.2728"/>
  </r>
  <r>
    <s v="MOLFIX BABY LOTION PH5.5 W 60 BAG HAYAT"/>
    <x v="36"/>
    <s v="MOLFIX "/>
    <s v="BAGS"/>
    <s v="PH BALANCED"/>
    <n v="60"/>
    <n v="296.26589999999999"/>
    <n v="290.55259999999998"/>
    <n v="128.1713"/>
    <n v="8749.3634000000002"/>
    <n v="8593.8201000000008"/>
    <n v="3618.6093999999998"/>
  </r>
  <r>
    <s v="MOLFIX BABY LOTION W 3X60 BAG HAYAT"/>
    <x v="36"/>
    <s v="MOLFIX "/>
    <s v="BAGS"/>
    <s v="PH BALANCED"/>
    <n v="60"/>
    <n v="2.9716999999999998"/>
    <n v="0.47810000000000002"/>
    <n v="0.26490000000000002"/>
    <n v="93.2804"/>
    <n v="14.5885"/>
    <n v="7.5808999999999997"/>
  </r>
  <r>
    <s v="MOLFIX BABY LOTION W 3X63 BAG HAYAT"/>
    <x v="36"/>
    <s v="MOLFIX "/>
    <s v="BAGS"/>
    <s v="PH BALANCED"/>
    <n v="63"/>
    <n v="0.21840000000000001"/>
    <n v="0"/>
    <n v="0"/>
    <n v="7.3784000000000001"/>
    <n v="0"/>
    <n v="0"/>
  </r>
  <r>
    <s v="MOLFIX BABY W 63 BAG HAYAT"/>
    <x v="36"/>
    <s v="MOLFIX "/>
    <s v="BAGS"/>
    <s v="WITHOUT EXTRA PROTECTCARE INDICATION"/>
    <n v="63"/>
    <n v="0.50360000000000005"/>
    <n v="0"/>
    <n v="0"/>
    <n v="14.988200000000001"/>
    <n v="0"/>
    <n v="0"/>
  </r>
  <r>
    <s v="HIMALAYA ALOE VERA&amp;INDIANLOTUS W 20 BAG"/>
    <x v="37"/>
    <s v="HIMALAYA "/>
    <s v="BAGS"/>
    <s v="ALCOHOL FREE &amp; HYPOALLERGENIC"/>
    <n v="20"/>
    <n v="0.17610000000000001"/>
    <n v="1.0699999999999999E-2"/>
    <n v="0"/>
    <n v="3.1602000000000001"/>
    <n v="0.19450000000000001"/>
    <n v="0"/>
  </r>
  <r>
    <s v="HIMALAYA SOOTHING&amp;PROTECTINGBABY W 20BAG"/>
    <x v="37"/>
    <s v="HIMALAYA "/>
    <s v="BAGS"/>
    <s v="ALCOHOL FREE &amp; HYPOALLERGENIC"/>
    <n v="20"/>
    <n v="0.50239999999999996"/>
    <n v="6.6451000000000002"/>
    <n v="0"/>
    <n v="10.56"/>
    <n v="115.3312"/>
    <n v="0"/>
  </r>
  <r>
    <s v="HIMALAYA ALOE VERA&amp;INDIANLOTUS W 56 BAG"/>
    <x v="37"/>
    <s v="HIMALAYA "/>
    <s v="BAGS"/>
    <s v="ALCOHOL FREE &amp; HYPOALLERGENIC"/>
    <n v="56"/>
    <n v="0.31990000000000002"/>
    <n v="0"/>
    <n v="0"/>
    <n v="7.3638000000000003"/>
    <n v="0"/>
    <n v="0"/>
  </r>
  <r>
    <s v="HIMALAYA SOOTHING&amp;PROTECTINGBABY W 56BAG"/>
    <x v="37"/>
    <s v="HIMALAYA "/>
    <s v="BAGS"/>
    <s v="ALCOHOL FREE &amp; HYPOALLERGENIC"/>
    <n v="56"/>
    <n v="3.0116000000000001"/>
    <n v="0"/>
    <n v="0"/>
    <n v="62.468000000000004"/>
    <n v="0"/>
    <n v="0"/>
  </r>
  <r>
    <s v="HIPP BABY SANFT ALMOND PH5.5 W 10 BAG"/>
    <x v="38"/>
    <s v="HIPP BABYSANFT"/>
    <s v="BAGS"/>
    <s v="PH BALANCED"/>
    <n v="10"/>
    <n v="1.7111000000000001"/>
    <n v="0.48920000000000002"/>
    <n v="7.6600000000000001E-2"/>
    <n v="14.330299999999999"/>
    <n v="3.8454999999999999"/>
    <n v="0.62309999999999999"/>
  </r>
  <r>
    <s v="HIPP BABY ULTRASENSITIVE MANDEL W 52 BAG"/>
    <x v="38"/>
    <s v="HIPP BABYSANFT"/>
    <s v="BAGS"/>
    <s v="SENSITIVE"/>
    <n v="52"/>
    <n v="88.057900000000004"/>
    <n v="26.767399999999999"/>
    <n v="2.3372999999999999"/>
    <n v="2166.7952"/>
    <n v="614.64589999999998"/>
    <n v="48.202599999999997"/>
  </r>
  <r>
    <s v="HIPP BABY ALMOND W 56 BAG"/>
    <x v="38"/>
    <s v="HIPP BABYSANFT"/>
    <s v="BAGS"/>
    <s v="WITHOUT EXTRA PROTECTCARE INDICATION"/>
    <n v="56"/>
    <n v="1.0826"/>
    <n v="0.79220000000000002"/>
    <n v="0"/>
    <n v="19.760000000000002"/>
    <n v="17.024000000000001"/>
    <n v="0"/>
  </r>
  <r>
    <s v="HIPP BABY GENTLE CARING W 56 BAG"/>
    <x v="38"/>
    <s v="HIPP BABYSANFT"/>
    <s v="BAGS"/>
    <s v="PH BALANCED"/>
    <n v="56"/>
    <n v="0.44109999999999999"/>
    <n v="0.41260000000000002"/>
    <n v="4.5600000000000002E-2"/>
    <n v="8.4567999999999994"/>
    <n v="6.601"/>
    <n v="0.72929999999999995"/>
  </r>
  <r>
    <s v="HIPP BABY SANFT FEUCHT TUCHER W 56 BAG"/>
    <x v="38"/>
    <s v="HIPP BABYSANFT"/>
    <s v="BAGS"/>
    <s v="SENSITIVE"/>
    <n v="56"/>
    <n v="2.1700000000000001E-2"/>
    <n v="0"/>
    <n v="0"/>
    <n v="0.48470000000000002"/>
    <n v="0"/>
    <n v="0"/>
  </r>
  <r>
    <s v="HIPP BABYSANFT BIOMANDELEXT.W 2X56+POD."/>
    <x v="38"/>
    <s v="HIPP BABYSANFT"/>
    <s v="BAGS"/>
    <s v="PH BALANCED"/>
    <n v="56"/>
    <n v="1.675"/>
    <n v="2.4634999999999998"/>
    <n v="0.86060000000000003"/>
    <n v="31.331099999999999"/>
    <n v="43.584000000000003"/>
    <n v="15.645899999999999"/>
  </r>
  <r>
    <s v="HIPP BABYSANFT BIOMANDELEXTR. W 2X56 BAG"/>
    <x v="38"/>
    <s v="HIPP BABYSANFT"/>
    <s v="BAGS"/>
    <s v="PH BALANCED"/>
    <n v="56"/>
    <n v="9.3126999999999995"/>
    <n v="6.4108999999999998"/>
    <n v="5.0708000000000002"/>
    <n v="206.11410000000001"/>
    <n v="126.16"/>
    <n v="101.6622"/>
  </r>
  <r>
    <s v="HIPP BABYSANFT BIOMANDELEXTRACT W 56 BAG"/>
    <x v="38"/>
    <s v="HIPP BABYSANFT"/>
    <s v="BAGS"/>
    <s v="PH BALANCED"/>
    <n v="56"/>
    <n v="11.1845"/>
    <n v="11.7105"/>
    <n v="3.9420000000000002"/>
    <n v="216.30410000000001"/>
    <n v="238.77709999999999"/>
    <n v="77.523899999999998"/>
  </r>
  <r>
    <s v="BIONIKE TRIDERM BABY CLEANSING 72 BAG"/>
    <x v="39"/>
    <s v="BIONIKE "/>
    <s v="BAGS"/>
    <s v="HYPOALLERGENIC"/>
    <n v="72"/>
    <n v="6.6299999999999998E-2"/>
    <n v="0.12959999999999999"/>
    <n v="7.1499999999999994E-2"/>
    <n v="0.504"/>
    <n v="0.91539999999999999"/>
    <n v="0.52459999999999996"/>
  </r>
  <r>
    <s v="WATERWIPES FRUITEXTR.99.9%WATER W 10 BAG"/>
    <x v="40"/>
    <s v="WATER WIPES "/>
    <s v="BAGS"/>
    <s v="WITHOUT EXTRA PROTECTCARE INDICATION"/>
    <n v="10"/>
    <n v="0.61529999999999996"/>
    <n v="0.502"/>
    <n v="4.99E-2"/>
    <n v="4.0616000000000003"/>
    <n v="3.2562000000000002"/>
    <n v="0.25269999999999998"/>
  </r>
  <r>
    <s v="WATERWIPES FRUITEXTR.99.9%WATER W 240BAG"/>
    <x v="40"/>
    <s v="WATER WIPES "/>
    <s v="BAGS"/>
    <s v="WITHOUT EXTRA PROTECTCARE INDICATION"/>
    <n v="240"/>
    <n v="18.4224"/>
    <n v="21.849599999999999"/>
    <n v="15.9329"/>
    <n v="154.90440000000001"/>
    <n v="191.65379999999999"/>
    <n v="151.1"/>
  </r>
  <r>
    <s v="WATERWIPES FRUITEXTR.99.9%WATER W 28 BAG"/>
    <x v="40"/>
    <s v="WATER WIPES "/>
    <s v="BAGS"/>
    <s v="WITHOUT EXTRA PROTECTCARE INDICATION"/>
    <n v="28"/>
    <n v="1.851"/>
    <n v="2.4146999999999998"/>
    <n v="0.80920000000000003"/>
    <n v="10.083500000000001"/>
    <n v="14.928100000000001"/>
    <n v="5.5830000000000002"/>
  </r>
  <r>
    <s v="WATERWIPES FRUITEXTR.99.9%WATER W 60 BAG"/>
    <x v="40"/>
    <s v="WATER WIPES "/>
    <s v="BAGS"/>
    <s v="WITHOUT EXTRA PROTECTCARE INDICATION"/>
    <n v="60"/>
    <n v="198.11109999999999"/>
    <n v="233.6309"/>
    <n v="113.3126"/>
    <n v="1569.5084999999999"/>
    <n v="2030.1902"/>
    <n v="989.67420000000004"/>
  </r>
  <r>
    <s v="WATERWIPES SOAPBERRY99.9%WATER W 60 BAG"/>
    <x v="40"/>
    <s v="WATER WIPES "/>
    <s v="BAGS"/>
    <s v="WITHOUT EXTRA PROTECTCARE INDICATION"/>
    <n v="60"/>
    <n v="1.278"/>
    <n v="13.6012"/>
    <n v="11.1342"/>
    <n v="10.3644"/>
    <n v="118.5029"/>
    <n v="94.131399999999999"/>
  </r>
  <r>
    <s v="PAW PATROL  FreshClean 56 W BAG"/>
    <x v="41"/>
    <s v="PAW PATROL "/>
    <s v="BAGS"/>
    <s v="WITHOUT EXTRA PROTECTCARE INDICATION"/>
    <n v="56"/>
    <n v="0"/>
    <n v="0.2286"/>
    <n v="8.4099999999999994E-2"/>
    <n v="0"/>
    <n v="3.6671999999999998"/>
    <n v="1.3489"/>
  </r>
  <r>
    <s v="PEPPA PIG BABY MUDDY PUDDLE 56 W BAG"/>
    <x v="41"/>
    <s v="PEPPA PIG "/>
    <s v="BAGS"/>
    <s v="WITHOUT EXTRA PROTECTCARE INDICATION"/>
    <n v="56"/>
    <n v="0"/>
    <n v="0.22009999999999999"/>
    <n v="0.1012"/>
    <n v="0"/>
    <n v="3.5211000000000001"/>
    <n v="1.6187"/>
  </r>
  <r>
    <s v="JOHNSONS BABY GENTLE ALL OVER W 20 BAG"/>
    <x v="42"/>
    <s v="JOHNSONS "/>
    <s v="BAGS"/>
    <s v="ALCOHOL FREE &amp; HYPOALLERGENIC"/>
    <n v="20"/>
    <n v="0.3851"/>
    <n v="0.10680000000000001"/>
    <n v="0"/>
    <n v="4.9682000000000004"/>
    <n v="1.3105"/>
    <n v="0"/>
  </r>
  <r>
    <s v="JOHNSONS BAB COT.TOU SEN.W56+BOD+SHG+IGR"/>
    <x v="42"/>
    <s v="JOHNSONS "/>
    <s v="BAGS"/>
    <s v="SENSITIVE"/>
    <n v="56"/>
    <n v="1.0960000000000001"/>
    <n v="0.3664"/>
    <n v="5.7799999999999997E-2"/>
    <n v="13.8332"/>
    <n v="3.4159999999999999"/>
    <n v="0.48"/>
  </r>
  <r>
    <s v="JOHNSONS BABY COTTON TOUCH SENS.W 56 BAG"/>
    <x v="42"/>
    <s v="JOHNSONS "/>
    <s v="BAGS"/>
    <s v="SENSITIVE"/>
    <n v="56"/>
    <n v="8.1957000000000004"/>
    <n v="0.14119999999999999"/>
    <n v="1.1000000000000001E-3"/>
    <n v="213.62710000000001"/>
    <n v="2.6021999999999998"/>
    <n v="1.6E-2"/>
  </r>
  <r>
    <s v="JOHNSONS BABY GENTLE ALL OVER W 3X56 BAG"/>
    <x v="42"/>
    <s v="JOHNSONS "/>
    <s v="BAGS"/>
    <s v="ALCOHOL FREE &amp; HYPOALLERGENIC"/>
    <n v="56"/>
    <n v="2.8999999999999998E-3"/>
    <n v="0"/>
    <n v="0"/>
    <n v="0.17960000000000001"/>
    <n v="0"/>
    <n v="0"/>
  </r>
  <r>
    <s v="JOHNSONS BABY SILK EXTRACT W 56 BAG"/>
    <x v="42"/>
    <s v="JOHNSONS "/>
    <s v="BAGS"/>
    <s v="WITHOUT EXTRA PROTECTCARE INDICATION"/>
    <n v="56"/>
    <n v="0.22670000000000001"/>
    <n v="0"/>
    <n v="0"/>
    <n v="4.5189000000000004"/>
    <n v="0"/>
    <n v="0"/>
  </r>
  <r>
    <s v="JOHNSONS BABY GENTLE ALL OVER W 72 BAG K"/>
    <x v="42"/>
    <s v="JOHNSONS "/>
    <s v="BAGS"/>
    <s v="ALCOHOL FREE &amp; HYPOALLERGENIC"/>
    <n v="72"/>
    <n v="24.499500000000001"/>
    <n v="1.3658999999999999"/>
    <n v="5.9999999999999995E-4"/>
    <n v="789.96360000000004"/>
    <n v="36.531500000000001"/>
    <n v="2.06E-2"/>
  </r>
  <r>
    <s v="JOHNSONS BABY SENSITIVE ALC.FREE W 72 BA"/>
    <x v="42"/>
    <s v="JOHNSONS "/>
    <s v="BAGS"/>
    <s v="SENSITIVE"/>
    <n v="72"/>
    <n v="0"/>
    <n v="2.8000000000000001E-2"/>
    <n v="0"/>
    <n v="0"/>
    <n v="0.80640000000000001"/>
    <n v="0"/>
  </r>
  <r>
    <s v="MAIA BABY PURE&amp;SENSITIVE PH5.5 W 72 BAG"/>
    <x v="43"/>
    <s v="MAIA "/>
    <s v="BAGS"/>
    <s v="PH BALANCED"/>
    <n v="72"/>
    <n v="0"/>
    <n v="10.2052"/>
    <n v="14.4321"/>
    <n v="0"/>
    <n v="569.2527"/>
    <n v="716.4248"/>
  </r>
  <r>
    <s v="KRISPA BABY CAMOMILE W 15 BAG"/>
    <x v="44"/>
    <s v="KRISPA "/>
    <s v="BAGS"/>
    <s v="WITHOUT EXTRA PROTECTCARE INDICATION"/>
    <n v="15"/>
    <n v="1.1900000000000001E-2"/>
    <n v="0"/>
    <n v="0"/>
    <n v="0.14000000000000001"/>
    <n v="0"/>
    <n v="0"/>
  </r>
  <r>
    <s v="FRESH'N SOFT WATER&amp;COTTON W 3X40 BAG"/>
    <x v="45"/>
    <s v="FRESH'N SOFT"/>
    <s v="BAGS"/>
    <s v="PH BALANCED"/>
    <n v="40"/>
    <n v="0"/>
    <n v="0"/>
    <n v="0.69599999999999995"/>
    <n v="0"/>
    <n v="0"/>
    <n v="11.551500000000001"/>
  </r>
  <r>
    <s v="FRESH'N SOFT CLASSIC PH5.5 W 90 BAG"/>
    <x v="45"/>
    <s v="FRESH'N SOFT"/>
    <s v="BAGS"/>
    <s v="PH BALANCED"/>
    <n v="90"/>
    <n v="0.33289999999999997"/>
    <n v="2.7199999999999998E-2"/>
    <n v="0.74419999999999997"/>
    <n v="16.585699999999999"/>
    <n v="2.2242999999999999"/>
    <n v="24.0091"/>
  </r>
  <r>
    <s v="RENKLY JUMBO CHAMOMILE 120 W BAG KAPAK"/>
    <x v="46"/>
    <s v="RENKLY"/>
    <s v="BAGS"/>
    <s v="PH BALANCED"/>
    <n v="120"/>
    <n v="0"/>
    <n v="3.2099999999999997E-2"/>
    <n v="0.19070000000000001"/>
    <n v="0"/>
    <n v="1.7567999999999999"/>
    <n v="7.8956"/>
  </r>
  <r>
    <s v="RENKLY BABY ALC.FREE W 70 BAG"/>
    <x v="46"/>
    <s v="RENKLY"/>
    <s v="BAGS"/>
    <s v="ALCOHOL FREE"/>
    <n v="70"/>
    <n v="0"/>
    <n v="0"/>
    <n v="2.2185000000000001"/>
    <n v="0"/>
    <n v="0"/>
    <n v="128.51750000000001"/>
  </r>
  <r>
    <s v="RENKLY BABY ALOE VERA 70 W BAG"/>
    <x v="46"/>
    <s v="RENKLY"/>
    <s v="BAGS"/>
    <s v="PH BALANCED"/>
    <n v="70"/>
    <n v="0"/>
    <n v="7.0191999999999997"/>
    <n v="7.8216999999999999"/>
    <n v="0"/>
    <n v="471.142"/>
    <n v="503.7824"/>
  </r>
  <r>
    <s v="RENKLI BABY ALC.FREE PH5.5 W 72 BAG KAPA"/>
    <x v="46"/>
    <s v="RENKLY"/>
    <s v="BAGS"/>
    <s v="PH BALANCED"/>
    <n v="72"/>
    <n v="8.5007999999999999"/>
    <n v="1.8512999999999999"/>
    <n v="0.35020000000000001"/>
    <n v="288.41750000000002"/>
    <n v="66.691299999999998"/>
    <n v="13.4161"/>
  </r>
  <r>
    <s v="RENKLY BABY 72 W BAG"/>
    <x v="46"/>
    <s v="RENKLY"/>
    <s v="BAGS"/>
    <s v="PH BALANCED"/>
    <n v="72"/>
    <n v="32.951099999999997"/>
    <n v="14.947100000000001"/>
    <n v="4.2103999999999999"/>
    <n v="1259.2874999999999"/>
    <n v="556.85670000000005"/>
    <n v="163.69149999999999"/>
  </r>
  <r>
    <s v="HUGGIES NATURAL CARE ALOE VERA W 56 BAG"/>
    <x v="47"/>
    <s v="HUGGIES "/>
    <s v="BAGS"/>
    <s v="ALCOHOL FREE"/>
    <n v="56"/>
    <n v="53.822000000000003"/>
    <n v="66.983199999999997"/>
    <n v="42.143000000000001"/>
    <n v="1325.5655999999999"/>
    <n v="1594.76"/>
    <n v="1015.3249"/>
  </r>
  <r>
    <s v="HUGGIES PURE COTTON WOOL&amp;WATER 56 W BAG"/>
    <x v="47"/>
    <s v="HUGGIES "/>
    <s v="BAGS"/>
    <s v="ALCOHOL FREE"/>
    <n v="56"/>
    <n v="81.760300000000001"/>
    <n v="83.135000000000005"/>
    <n v="53.412599999999998"/>
    <n v="1959.0420999999999"/>
    <n v="1973.6881000000001"/>
    <n v="1284.8007"/>
  </r>
  <r>
    <s v="HUGGIES SOFT SKIN VIT E 56 BAG"/>
    <x v="47"/>
    <s v="HUGGIES "/>
    <s v="BAGS"/>
    <s v="ALCOHOL FREE"/>
    <n v="56"/>
    <n v="24.3629"/>
    <n v="18.871200000000002"/>
    <n v="0.95489999999999997"/>
    <n v="571.42309999999998"/>
    <n v="430.0342"/>
    <n v="21.356300000000001"/>
  </r>
  <r>
    <s v="HUGGIES UNISTAR LINGETTES 56 W BAG"/>
    <x v="47"/>
    <s v="HUGGIES "/>
    <s v="BAGS"/>
    <s v="WITHOUT EXTRA PROTECTCARE INDICATION"/>
    <n v="56"/>
    <n v="6.2572999999999999"/>
    <n v="18.031600000000001"/>
    <n v="4.2451999999999996"/>
    <n v="140.29249999999999"/>
    <n v="398.21929999999998"/>
    <n v="95.220100000000002"/>
  </r>
  <r>
    <s v="HUGGIES ALOE+VIT E W 64 BAG"/>
    <x v="47"/>
    <s v="HUGGIES "/>
    <s v="BAGS"/>
    <s v="PH BALANCED"/>
    <n v="64"/>
    <n v="0"/>
    <n v="0"/>
    <n v="0.16520000000000001"/>
    <n v="0"/>
    <n v="0"/>
    <n v="4.4053000000000004"/>
  </r>
  <r>
    <s v="HUGGIES BABY UNISTAR W 64 BAG"/>
    <x v="47"/>
    <s v="HUGGIES "/>
    <s v="BAGS"/>
    <s v="WITHOUT EXTRA PROTECTCARE INDICATION"/>
    <n v="64"/>
    <n v="2.9600000000000001E-2"/>
    <n v="0"/>
    <n v="0"/>
    <n v="0.8246"/>
    <n v="0"/>
    <n v="0"/>
  </r>
  <r>
    <s v="HUGGIES PURE 99% WATER 72 W BAG"/>
    <x v="47"/>
    <s v="HUGGIES "/>
    <s v="BAGS"/>
    <s v="WITHOUT EXTRA PROTECTCARE INDICATION"/>
    <n v="72"/>
    <n v="2.3472"/>
    <n v="0.8044"/>
    <n v="0"/>
    <n v="54.641800000000003"/>
    <n v="24.183599999999998"/>
    <n v="0"/>
  </r>
  <r>
    <s v="KOMILI BABY SOFT ALC.FREE W 70 BAG"/>
    <x v="48"/>
    <s v="KOMILI "/>
    <s v="BAGS"/>
    <s v="ALCOHOL FREE"/>
    <n v="70"/>
    <n v="5.9740000000000002"/>
    <n v="0"/>
    <n v="0"/>
    <n v="416.80889999999999"/>
    <n v="0"/>
    <n v="0"/>
  </r>
  <r>
    <s v="KOMILI BABY COTTON PH5.5 W 80 BAG"/>
    <x v="48"/>
    <s v="KOMILI "/>
    <s v="BAGS"/>
    <s v="PH BALANCED"/>
    <n v="80"/>
    <n v="0.1293"/>
    <n v="8.2299999999999998E-2"/>
    <n v="0"/>
    <n v="5.4459999999999997"/>
    <n v="3.4649000000000001"/>
    <n v="0"/>
  </r>
  <r>
    <s v="TANGO BABY SOFT VIT E ALC.FREE 72BR BAG"/>
    <x v="49"/>
    <s v="TANGO "/>
    <s v="BAGS"/>
    <s v="ALCOHOL FREE"/>
    <n v="72"/>
    <n v="11.181699999999999"/>
    <n v="15.1816"/>
    <n v="9.6165000000000003"/>
    <n v="586.38080000000002"/>
    <n v="752.94479999999999"/>
    <n v="438.76389999999998"/>
  </r>
  <r>
    <s v="MUSTELA BEBE CLEANSING 25 W BAG"/>
    <x v="50"/>
    <s v="MUSTELA "/>
    <s v="BAGS"/>
    <s v="HYPOALLERGENIC"/>
    <n v="25"/>
    <n v="8.2699999999999996E-2"/>
    <n v="4.5199999999999997E-2"/>
    <n v="5.4999999999999997E-3"/>
    <n v="0.35360000000000003"/>
    <n v="0.2"/>
    <n v="2.5000000000000001E-2"/>
  </r>
  <r>
    <s v="MUSTELA BEBE CLEANSING 25 W NP KAPAK"/>
    <x v="50"/>
    <s v="MUSTELA "/>
    <s v="BAGS"/>
    <s v="HYPOALLERGENIC"/>
    <n v="25"/>
    <n v="2.0510000000000002"/>
    <n v="2.5941999999999998"/>
    <n v="0.76219999999999999"/>
    <n v="8.6088000000000005"/>
    <n v="11.446400000000001"/>
    <n v="3.6349999999999998"/>
  </r>
  <r>
    <s v="MUSTELA BEBE STELATOPIA W 50 BAG KAPAK"/>
    <x v="50"/>
    <s v="MUSTELA "/>
    <s v="BAGS"/>
    <s v="HYPOALLERGENIC"/>
    <n v="50"/>
    <n v="10.297499999999999"/>
    <n v="4.8240999999999996"/>
    <n v="4.976"/>
    <n v="49.665700000000001"/>
    <n v="27.7622"/>
    <n v="22.308599999999998"/>
  </r>
  <r>
    <s v="MUSTELABEBE STELATOPIAW50KAP+BOD+BOD+BOD"/>
    <x v="50"/>
    <s v="MUSTELA "/>
    <s v="BAGS"/>
    <s v="HYPOALLERGENIC"/>
    <n v="50"/>
    <n v="0.2089"/>
    <n v="0"/>
    <n v="0"/>
    <n v="1.25"/>
    <n v="0"/>
    <n v="0"/>
  </r>
  <r>
    <s v="MUSTELA BEBE CLEANSING 60 W BAG"/>
    <x v="50"/>
    <s v="MUSTELA "/>
    <s v="BAGS"/>
    <s v="WITHOUT EXTRA PROTECTCARE INDICATION"/>
    <n v="60"/>
    <n v="0"/>
    <n v="0"/>
    <n v="0.18790000000000001"/>
    <n v="0"/>
    <n v="0"/>
    <n v="1.0885"/>
  </r>
  <r>
    <s v="MUSTELA BEBE CLEANSING AVOCADO 70 W BAG"/>
    <x v="50"/>
    <s v="MUSTELA "/>
    <s v="BAGS"/>
    <s v="WITHOUT EXTRA PROTECTCARE INDICATION"/>
    <n v="70"/>
    <n v="1.4366000000000001"/>
    <n v="2.8525"/>
    <n v="1.1071"/>
    <n v="10.09"/>
    <n v="20.329999999999998"/>
    <n v="7.64"/>
  </r>
  <r>
    <s v="MUSTELA BEBE CLEANSING W 70 BAG KAPAK"/>
    <x v="50"/>
    <s v="MUSTELA "/>
    <s v="BAGS"/>
    <s v="HYPOALLERGENIC"/>
    <n v="70"/>
    <n v="6.5038999999999998"/>
    <n v="6.5046999999999997"/>
    <n v="1.2238"/>
    <n v="46.08"/>
    <n v="47.101700000000001"/>
    <n v="9.65"/>
  </r>
  <r>
    <s v="MUSTELA BEBE SOOTHING ALOE VERA 70 W BAG"/>
    <x v="50"/>
    <s v="MUSTELA "/>
    <s v="BAGS"/>
    <s v="ALCOHOL FREE"/>
    <n v="70"/>
    <n v="0"/>
    <n v="6.5199999999999994E-2"/>
    <n v="0"/>
    <n v="0"/>
    <n v="0.35370000000000001"/>
    <n v="0"/>
  </r>
  <r>
    <s v="LANSINOH BABY ALC.FREE W 80 BAG KAPAK"/>
    <x v="51"/>
    <s v="LANSINOH "/>
    <s v="BAGS"/>
    <s v="ALCOHOL FREE"/>
    <n v="80"/>
    <n v="7.0000000000000001E-3"/>
    <n v="0"/>
    <n v="0"/>
    <n v="0.08"/>
    <n v="0"/>
    <n v="0"/>
  </r>
  <r>
    <s v="LARA BABY SOFT ALOE VERA W 100 BAG KAPAK"/>
    <x v="52"/>
    <s v="LARA BABY"/>
    <s v="BAGS"/>
    <s v="ALCOHOL FREE"/>
    <n v="100"/>
    <n v="0"/>
    <n v="0"/>
    <n v="0.80289999999999995"/>
    <n v="0"/>
    <n v="0"/>
    <n v="36.833599999999997"/>
  </r>
  <r>
    <s v="LARA BABY SOFT CAMOMILE W 100 BAG KAPAK"/>
    <x v="52"/>
    <s v="LARA BABY"/>
    <s v="BAGS"/>
    <s v="PH BALANCED"/>
    <n v="100"/>
    <n v="9.9892000000000003"/>
    <n v="8.1153999999999993"/>
    <n v="3.5836999999999999"/>
    <n v="492.51530000000002"/>
    <n v="366.96510000000001"/>
    <n v="145.6557"/>
  </r>
  <r>
    <s v="LARA BABY SOFT GERBERA DAISY W 100 BAG"/>
    <x v="52"/>
    <s v="LARA BABY"/>
    <s v="BAGS"/>
    <s v="ALCOHOL FREE"/>
    <n v="100"/>
    <n v="2.3199999999999998E-2"/>
    <n v="2.375"/>
    <n v="2.0299"/>
    <n v="1.054"/>
    <n v="113.97580000000001"/>
    <n v="89.836200000000005"/>
  </r>
  <r>
    <s v="LARA BABY SOFT LAVENDER W 100 BAG KAPAK"/>
    <x v="52"/>
    <s v="LARA BABY"/>
    <s v="BAGS"/>
    <s v="PH BALANCED"/>
    <n v="100"/>
    <n v="12.8912"/>
    <n v="14.945399999999999"/>
    <n v="2.4279000000000002"/>
    <n v="607.44449999999995"/>
    <n v="678.69550000000004"/>
    <n v="103.8368"/>
  </r>
  <r>
    <s v="LARA BABY SOFT WILD ROSE W 100 BAG KAPAK"/>
    <x v="52"/>
    <s v="LARA BABY"/>
    <s v="BAGS"/>
    <s v="WITHOUT EXTRA PROTECTCARE INDICATION"/>
    <n v="100"/>
    <n v="0"/>
    <n v="0.01"/>
    <n v="1.5183"/>
    <n v="0"/>
    <n v="0.48130000000000001"/>
    <n v="68.4452"/>
  </r>
  <r>
    <s v="LARA BABYSOFT LEMON&amp;GRAPEFRUIT W 100 BAG"/>
    <x v="52"/>
    <s v="LARA BABY"/>
    <s v="BAGS"/>
    <s v="ALCOHOL FREE"/>
    <n v="100"/>
    <n v="32.355400000000003"/>
    <n v="38.555399999999999"/>
    <n v="28.667999999999999"/>
    <n v="1339.7692"/>
    <n v="1517.8848"/>
    <n v="1147.3356000000001"/>
  </r>
  <r>
    <s v="LARA BABY SOFT ALOE VERA W 120 BAG KAPAK"/>
    <x v="52"/>
    <s v="LARA BABY"/>
    <s v="BAGS"/>
    <s v="PH BALANCED"/>
    <n v="120"/>
    <n v="39.0503"/>
    <n v="53.6008"/>
    <n v="45.671900000000001"/>
    <n v="2028.7261000000001"/>
    <n v="2727.4971999999998"/>
    <n v="2409.5587999999998"/>
  </r>
  <r>
    <s v="LARA BABY SOFT CAMOMILE BREEZE W 120 BAG"/>
    <x v="52"/>
    <s v="LARA BABY"/>
    <s v="BAGS"/>
    <s v="ALCOHOL FREE"/>
    <n v="120"/>
    <n v="18.061"/>
    <n v="20.3689"/>
    <n v="25.3782"/>
    <n v="997.27200000000005"/>
    <n v="1129.9784999999999"/>
    <n v="1401.0871999999999"/>
  </r>
  <r>
    <s v="LARA BABY SOFT CAMOMILE W 120 BAG KAPAK"/>
    <x v="52"/>
    <s v="LARA BABY"/>
    <s v="BAGS"/>
    <s v="PH BALANCED"/>
    <n v="120"/>
    <n v="60.256900000000002"/>
    <n v="59.171300000000002"/>
    <n v="46.391500000000001"/>
    <n v="3003.9076"/>
    <n v="2862.6754999999998"/>
    <n v="2309.9086000000002"/>
  </r>
  <r>
    <s v="LARA BABY SOFT GERBER W 120 BAG KAPAK"/>
    <x v="52"/>
    <s v="LARA BABY"/>
    <s v="BAGS"/>
    <s v="PH BALANCED"/>
    <n v="120"/>
    <n v="20.0168"/>
    <n v="19.4117"/>
    <n v="16.676400000000001"/>
    <n v="1086.6414"/>
    <n v="1089.1328000000001"/>
    <n v="913.75469999999996"/>
  </r>
  <r>
    <s v="LARA BABY SOFT LAVENDER W 120 BAG KAPAK"/>
    <x v="52"/>
    <s v="LARA BABY"/>
    <s v="BAGS"/>
    <s v="PH BALANCED"/>
    <n v="120"/>
    <n v="15.4658"/>
    <n v="23.898299999999999"/>
    <n v="20.8841"/>
    <n v="835.59469999999999"/>
    <n v="1304.8905999999999"/>
    <n v="1122.8086000000001"/>
  </r>
  <r>
    <s v="LARA BABY SOFT WILD ROSE W 120 BAG KAPAK"/>
    <x v="52"/>
    <s v="LARA BABY"/>
    <s v="BAGS"/>
    <s v="WITHOUT EXTRA PROTECTCARE INDICATION"/>
    <n v="120"/>
    <n v="17.192699999999999"/>
    <n v="14.837400000000001"/>
    <n v="10.0755"/>
    <n v="845.18690000000004"/>
    <n v="818.97209999999995"/>
    <n v="554.23329999999999"/>
  </r>
  <r>
    <s v="LARA BABYSOFT LEMON&amp;GRAPEFRUIT W 120 BAG"/>
    <x v="52"/>
    <s v="LARA BABY"/>
    <s v="BAGS"/>
    <s v="ALCOHOL FREE"/>
    <n v="120"/>
    <n v="12.4558"/>
    <n v="19.5045"/>
    <n v="19.680399999999999"/>
    <n v="695.70420000000001"/>
    <n v="1080.8305"/>
    <n v="1068.2409"/>
  </r>
  <r>
    <s v="LARA BABYSOFT PREMIUM ALC.FREE W 120 BAG"/>
    <x v="52"/>
    <s v="LARA BABY"/>
    <s v="BAGS"/>
    <s v="ALCOHOL FREE"/>
    <n v="120"/>
    <n v="29.7578"/>
    <n v="42.059199999999997"/>
    <n v="37.9373"/>
    <n v="1513.1635000000001"/>
    <n v="2139.8314999999998"/>
    <n v="1997.7666999999999"/>
  </r>
  <r>
    <s v="LARA BABY SOFT&amp;FRESH PH5.5 W 20 BAG"/>
    <x v="52"/>
    <s v="LARA BABY"/>
    <s v="BAGS"/>
    <s v="PH BALANCED"/>
    <n v="20"/>
    <n v="12.4033"/>
    <n v="7.0781999999999998"/>
    <n v="1.7199"/>
    <n v="294.48759999999999"/>
    <n v="150.97989999999999"/>
    <n v="36.068199999999997"/>
  </r>
  <r>
    <s v="LARA BABY SOFT ALOE VERA W 40 BAG"/>
    <x v="52"/>
    <s v="LARA BABY"/>
    <s v="BAGS"/>
    <s v="ALCOHOL FREE"/>
    <n v="40"/>
    <n v="1.6268"/>
    <n v="0"/>
    <n v="0"/>
    <n v="65.1297"/>
    <n v="0"/>
    <n v="0"/>
  </r>
  <r>
    <s v="LARA BABY SOFT VIT E&amp;PRO VIT B5 W 40 BAG"/>
    <x v="52"/>
    <s v="LARA BABY"/>
    <s v="BAGS"/>
    <s v="ALCOHOL FREE"/>
    <n v="40"/>
    <n v="2.5358999999999998"/>
    <n v="0"/>
    <n v="0"/>
    <n v="101.7274"/>
    <n v="0"/>
    <n v="0"/>
  </r>
  <r>
    <s v="LARA CARE BABY 99%WATER PREBIOTIC W 60"/>
    <x v="52"/>
    <s v="LARA BABY"/>
    <s v="BAGS"/>
    <s v="WITHOUT EXTRA PROTECTCARE INDICATION"/>
    <n v="60"/>
    <n v="0"/>
    <n v="0"/>
    <n v="3.6318999999999999"/>
    <n v="0"/>
    <n v="0"/>
    <n v="71.160700000000006"/>
  </r>
  <r>
    <s v="LARA BABY FRESH W 72 BAG/KAPACHE"/>
    <x v="52"/>
    <s v="LARA BABY"/>
    <s v="BAGS"/>
    <s v="WITHOUT EXTRA PROTECTCARE INDICATION"/>
    <n v="72"/>
    <n v="17.9986"/>
    <n v="13.0489"/>
    <n v="10.643000000000001"/>
    <n v="650.62580000000003"/>
    <n v="424.79559999999998"/>
    <n v="323.3997"/>
  </r>
  <r>
    <s v="LARA BABY SENSITIVE PH5.5 W 72 BAG"/>
    <x v="52"/>
    <s v="LARA BABY"/>
    <s v="BAGS"/>
    <s v="SENSITIVE"/>
    <n v="72"/>
    <n v="18.099399999999999"/>
    <n v="12.3561"/>
    <n v="12.3432"/>
    <n v="1018.4675999999999"/>
    <n v="683.55870000000004"/>
    <n v="606.59050000000002"/>
  </r>
  <r>
    <s v="LARA BABY SOFT CAMOMILE W 72 BAG/KAPACHE"/>
    <x v="52"/>
    <s v="LARA BABY"/>
    <s v="BAGS"/>
    <s v="WITHOUT EXTRA PROTECTCARE INDICATION"/>
    <n v="72"/>
    <n v="13.9643"/>
    <n v="11.9328"/>
    <n v="7.4202000000000004"/>
    <n v="510.25119999999998"/>
    <n v="382.31479999999999"/>
    <n v="215.15559999999999"/>
  </r>
  <r>
    <s v="LARA BABY SOFT PH5.5 W 72 BAG"/>
    <x v="52"/>
    <s v="LARA BABY"/>
    <s v="BAGS"/>
    <s v="PH BALANCED"/>
    <n v="72"/>
    <n v="0"/>
    <n v="0.56559999999999999"/>
    <n v="0.19719999999999999"/>
    <n v="0"/>
    <n v="6.4855"/>
    <n v="8.6998999999999995"/>
  </r>
  <r>
    <s v="LARA BABY SOFT PH5.5 W 72 BAG KAPAK"/>
    <x v="52"/>
    <s v="LARA BABY"/>
    <s v="BAGS"/>
    <s v="PH BALANCED"/>
    <n v="72"/>
    <n v="11.936500000000001"/>
    <n v="11.3424"/>
    <n v="2.8279999999999998"/>
    <n v="494.98500000000001"/>
    <n v="456.52679999999998"/>
    <n v="127.90179999999999"/>
  </r>
  <r>
    <s v="LARA BABY SOFT VIT E&amp;PRO VIT B5 W 72 BAG"/>
    <x v="52"/>
    <s v="LARA BABY"/>
    <s v="BAGS"/>
    <s v="ALCOHOL FREE"/>
    <n v="72"/>
    <n v="16.799600000000002"/>
    <n v="11.79"/>
    <n v="3.1292"/>
    <n v="633.09360000000004"/>
    <n v="491.60489999999999"/>
    <n v="123.1259"/>
  </r>
  <r>
    <s v="LARA BABY SOFT&amp;FRESH W 72 BAG"/>
    <x v="52"/>
    <s v="LARA BABY"/>
    <s v="BAGS"/>
    <s v="PH BALANCED"/>
    <n v="72"/>
    <n v="15.0557"/>
    <n v="9.7439"/>
    <n v="7.3936000000000002"/>
    <n v="945.80409999999995"/>
    <n v="583.28309999999999"/>
    <n v="424.78879999999998"/>
  </r>
  <r>
    <s v="LARA BABY SPECIAL FORMULA VIT E W 72 BAG"/>
    <x v="52"/>
    <s v="LARA BABY"/>
    <s v="BAGS"/>
    <s v="PH BALANCED"/>
    <n v="72"/>
    <n v="2.5228000000000002"/>
    <n v="0"/>
    <n v="0"/>
    <n v="102.04300000000001"/>
    <n v="0"/>
    <n v="0"/>
  </r>
  <r>
    <s v="LARA BABY SOFT ALOE VERA W 80 BAG KAPAK"/>
    <x v="52"/>
    <s v="LARA BABY"/>
    <s v="BAGS"/>
    <s v="ALCOHOL FREE"/>
    <n v="80"/>
    <n v="5.8501000000000003"/>
    <n v="3.1604999999999999"/>
    <n v="1.1102000000000001"/>
    <n v="279.7971"/>
    <n v="133.69110000000001"/>
    <n v="49.716799999999999"/>
  </r>
  <r>
    <s v="LARA BABY SOFT WILD ROSE W 80 BAG KAPAK"/>
    <x v="52"/>
    <s v="LARA BABY"/>
    <s v="BAGS"/>
    <s v="WITHOUT EXTRA PROTECTCARE INDICATION"/>
    <n v="80"/>
    <n v="3.5649999999999999"/>
    <n v="3.9624000000000001"/>
    <n v="3.0468999999999999"/>
    <n v="186.07509999999999"/>
    <n v="188.92570000000001"/>
    <n v="146.31370000000001"/>
  </r>
  <r>
    <s v="LARA BABYSOFT CAMOMILEBREEZ.W 80 BAG KAP"/>
    <x v="52"/>
    <s v="LARA BABY"/>
    <s v="BAGS"/>
    <s v="ALCOHOL FREE"/>
    <n v="80"/>
    <n v="4.5880999999999998"/>
    <n v="5.0932000000000004"/>
    <n v="5.0259"/>
    <n v="237.0685"/>
    <n v="259.80410000000001"/>
    <n v="248.8639"/>
  </r>
  <r>
    <s v="LARA BABY SOFT EXTRA W 96 BAG/KAPACHE"/>
    <x v="52"/>
    <s v="LARA BABY"/>
    <s v="BAGS"/>
    <s v="WITHOUT EXTRA PROTECTCARE INDICATION"/>
    <n v="96"/>
    <n v="0"/>
    <n v="7.0000000000000001E-3"/>
    <n v="0"/>
    <n v="0"/>
    <n v="0.32779999999999998"/>
    <n v="0"/>
  </r>
  <r>
    <s v="PUFY FRESH GERBERA PH5.5 W 120 BAG"/>
    <x v="52"/>
    <s v="PUFY "/>
    <s v="BAGS"/>
    <s v="PH BALANCED"/>
    <n v="120"/>
    <n v="3.0200000000000001E-2"/>
    <n v="2.0104000000000002"/>
    <n v="1.0045999999999999"/>
    <n v="1.4571000000000001"/>
    <n v="118.0438"/>
    <n v="56.873399999999997"/>
  </r>
  <r>
    <s v="TOP BLITZ CREAM VIT E W 72 BAG"/>
    <x v="52"/>
    <s v="TOP BLITZ "/>
    <s v="BAGS"/>
    <s v="WITHOUT EXTRA PROTECTCARE INDICATION"/>
    <n v="72"/>
    <n v="0.1913"/>
    <n v="0.55200000000000005"/>
    <n v="4.3700000000000003E-2"/>
    <n v="6.9211999999999998"/>
    <n v="19.9695"/>
    <n v="1.2094"/>
  </r>
  <r>
    <s v="CONFY BABY PH5.5 W 40 BAG"/>
    <x v="53"/>
    <s v="CONFY "/>
    <s v="BAGS"/>
    <s v="PH BALANCED"/>
    <n v="40"/>
    <n v="2.6700000000000002E-2"/>
    <n v="6.6E-3"/>
    <n v="0"/>
    <n v="1.3361000000000001"/>
    <n v="0.32919999999999999"/>
    <n v="0"/>
  </r>
  <r>
    <s v="CONFY BABY SENSITIVE W 90 BAG"/>
    <x v="53"/>
    <s v="CONFY "/>
    <s v="BAGS"/>
    <s v="SENSITIVE"/>
    <n v="90"/>
    <n v="6.93E-2"/>
    <n v="0.19889999999999999"/>
    <n v="0"/>
    <n v="3.0247000000000002"/>
    <n v="8.6912000000000003"/>
    <n v="0"/>
  </r>
  <r>
    <s v="CONFY BABY SENSITIVE W 90 BAG PINK"/>
    <x v="53"/>
    <s v="CONFY "/>
    <s v="BAGS"/>
    <s v="SENSITIVE"/>
    <n v="90"/>
    <n v="7.6300000000000007E-2"/>
    <n v="0.42759999999999998"/>
    <n v="0.15670000000000001"/>
    <n v="3.4260000000000002"/>
    <n v="18.685099999999998"/>
    <n v="6.8449999999999998"/>
  </r>
  <r>
    <s v="MIMOSA BABY ALOE VERA 64 BAG"/>
    <x v="54"/>
    <s v="MIMOSA "/>
    <s v="BAGS"/>
    <s v="WITHOUT EXTRA PROTECTCARE INDICATION"/>
    <n v="64"/>
    <n v="13.539"/>
    <n v="14.939299999999999"/>
    <n v="5.9192"/>
    <n v="399.25150000000002"/>
    <n v="471.38619999999997"/>
    <n v="172.6644"/>
  </r>
  <r>
    <s v="MIMOSA BABY CHAMOMILE 64 BAG"/>
    <x v="54"/>
    <s v="MIMOSA "/>
    <s v="BAGS"/>
    <s v="WITHOUT EXTRA PROTECTCARE INDICATION"/>
    <n v="64"/>
    <n v="9.7232000000000003"/>
    <n v="14.417199999999999"/>
    <n v="5.9874999999999998"/>
    <n v="300.88780000000003"/>
    <n v="488.67129999999997"/>
    <n v="199.4579"/>
  </r>
  <r>
    <s v="MIMOSA BABY PH5.5 72 BAG KAPAK"/>
    <x v="54"/>
    <s v="MIMOSA "/>
    <s v="BAGS"/>
    <s v="PH BALANCED"/>
    <n v="72"/>
    <n v="0.4834"/>
    <n v="0"/>
    <n v="0"/>
    <n v="12.901899999999999"/>
    <n v="0"/>
    <n v="0"/>
  </r>
  <r>
    <s v="SENCE BABY SENSITIVE PH5.5 W 60 BAG"/>
    <x v="55"/>
    <s v="SENCE BABY"/>
    <s v="BAGS"/>
    <s v="SENSITIVE"/>
    <n v="60"/>
    <n v="0.13550000000000001"/>
    <n v="0"/>
    <n v="0"/>
    <n v="3.2519"/>
    <n v="0"/>
    <n v="0"/>
  </r>
  <r>
    <s v="BABY CARE CHAMOMILE 4X12/2FR BAG"/>
    <x v="56"/>
    <s v="BABY CARE "/>
    <s v="BAGS"/>
    <s v="ALCOHOL FREE &amp; HYPOALLERGENIC"/>
    <n v="12"/>
    <n v="0"/>
    <n v="2.3E-3"/>
    <n v="0"/>
    <n v="0"/>
    <n v="4.8000000000000001E-2"/>
    <n v="0"/>
  </r>
  <r>
    <s v="BABY CARE CHAMOMILE W 12 BAG"/>
    <x v="56"/>
    <s v="BABY CARE "/>
    <s v="BAGS"/>
    <s v="ALCOHOL FREE &amp; HYPOALLERGENIC"/>
    <n v="12"/>
    <n v="3.7978999999999998"/>
    <n v="0.23119999999999999"/>
    <n v="5.57E-2"/>
    <n v="45.909399999999998"/>
    <n v="3.0430999999999999"/>
    <n v="0.74270000000000003"/>
  </r>
  <r>
    <s v="BABY CARE CHAMOMILE W 3X12/1FR BAG"/>
    <x v="56"/>
    <s v="BABY CARE "/>
    <s v="BAGS"/>
    <s v="ALCOHOL FREE &amp; HYPOALLERGENIC"/>
    <n v="12"/>
    <n v="10.1713"/>
    <n v="1.4034"/>
    <n v="0.79169999999999996"/>
    <n v="191.46350000000001"/>
    <n v="25.065200000000001"/>
    <n v="12.493499999999999"/>
  </r>
  <r>
    <s v="BABY CARE TRAVEL CHAMOMILE 20 BAG"/>
    <x v="56"/>
    <s v="BABY CARE "/>
    <s v="BAGS"/>
    <s v="ALCOHOL FREE &amp; HYPOALLERGENIC"/>
    <n v="20"/>
    <n v="8.9099999999999999E-2"/>
    <n v="0"/>
    <n v="0"/>
    <n v="1.4943"/>
    <n v="0"/>
    <n v="0"/>
  </r>
  <r>
    <s v="BABY CARE CLAMING PURE WATER 63 BAG"/>
    <x v="56"/>
    <s v="BABY CARE "/>
    <s v="BAGS"/>
    <s v="WITHOUT EXTRA PROTECTCARE INDICATION"/>
    <n v="63"/>
    <n v="16.7622"/>
    <n v="54.880099999999999"/>
    <n v="30.8141"/>
    <n v="558.82709999999997"/>
    <n v="1712.2448999999999"/>
    <n v="842.72770000000003"/>
  </r>
  <r>
    <s v="BABY CARE PURE COTTON EXTRACT 63 BAG"/>
    <x v="56"/>
    <s v="BABY CARE "/>
    <s v="BAGS"/>
    <s v="WITHOUT EXTRA PROTECTCARE INDICATION"/>
    <n v="63"/>
    <n v="61.024299999999997"/>
    <n v="69.369399999999999"/>
    <n v="37.2607"/>
    <n v="1986.0632000000001"/>
    <n v="2074.7809000000002"/>
    <n v="1026.0545999999999"/>
  </r>
  <r>
    <s v="BABY CARE SENSITIVE OLIVE EXTRACT 63 BAG"/>
    <x v="56"/>
    <s v="BABY CARE "/>
    <s v="BAGS"/>
    <s v="SENSITIVE"/>
    <n v="63"/>
    <n v="99.720299999999995"/>
    <n v="82.962900000000005"/>
    <n v="1.6460999999999999"/>
    <n v="3124.0421999999999"/>
    <n v="2460.6639"/>
    <n v="45.897799999999997"/>
  </r>
  <r>
    <s v="BABY CARE TRAVEL CHAMOMILE 72 BAG RE"/>
    <x v="56"/>
    <s v="BABY CARE "/>
    <s v="BAGS"/>
    <s v="WITHOUT EXTRA PROTECTCARE INDICATION"/>
    <n v="72"/>
    <n v="86.361699999999999"/>
    <n v="101.56570000000001"/>
    <n v="54.776899999999998"/>
    <n v="3022.1621"/>
    <n v="3499.3182999999999"/>
    <n v="1704.9738"/>
  </r>
  <r>
    <s v="BABY LINO SENSITIVE CHAMOMILE W 54 BAG"/>
    <x v="56"/>
    <s v="BABY LINO"/>
    <s v="BAGS"/>
    <s v="SENSITIVE"/>
    <n v="54"/>
    <n v="23.7104"/>
    <n v="2.5188000000000001"/>
    <n v="0.15770000000000001"/>
    <n v="549.04570000000001"/>
    <n v="49.080599999999997"/>
    <n v="2.9064000000000001"/>
  </r>
  <r>
    <s v="BABYLINO SENSITIVE ARNIKACHAMOMILE W 54"/>
    <x v="56"/>
    <s v="BABY LINO"/>
    <s v="BAGS"/>
    <s v="SENSITIVE"/>
    <n v="54"/>
    <n v="34.488300000000002"/>
    <n v="5.6889000000000003"/>
    <n v="0.2626"/>
    <n v="739.96220000000005"/>
    <n v="104.66840000000001"/>
    <n v="4.7222"/>
  </r>
  <r>
    <s v="BABYLINO SENSITIVE CHAMOMILE W 54+10 BAG"/>
    <x v="56"/>
    <s v="BABY LINO"/>
    <s v="BAGS"/>
    <s v="SENSITIVE"/>
    <n v="54"/>
    <n v="0.31869999999999998"/>
    <n v="0"/>
    <n v="0"/>
    <n v="6.5327000000000002"/>
    <n v="0"/>
    <n v="0"/>
  </r>
  <r>
    <s v="BABYLINO SENSITIVE CHAMOMILE W 54+WIP 10"/>
    <x v="56"/>
    <s v="BABY LINO"/>
    <s v="BAGS"/>
    <s v="SENSITIVE"/>
    <n v="54"/>
    <n v="7.1499999999999994E-2"/>
    <n v="0"/>
    <n v="0"/>
    <n v="1.2682"/>
    <n v="0"/>
    <n v="0"/>
  </r>
  <r>
    <s v="L'UNICO BABY OLIO DI ARGAN HYPO.W 72 BAG"/>
    <x v="57"/>
    <s v="L'UNICO "/>
    <s v="BAGS"/>
    <s v="HYPOALLERGENIC"/>
    <n v="72"/>
    <n v="0"/>
    <n v="6.2138"/>
    <n v="8.77E-2"/>
    <n v="0"/>
    <n v="384.83499999999998"/>
    <n v="5.7408999999999999"/>
  </r>
  <r>
    <s v="BIG SOFT SENSITIVE WITH CREAM 100 BAG"/>
    <x v="58"/>
    <s v="BIG SOFT "/>
    <s v="BAGS"/>
    <s v="SENSITIVE"/>
    <n v="100"/>
    <n v="2.8529"/>
    <n v="0"/>
    <n v="0"/>
    <n v="195.97380000000001"/>
    <n v="0"/>
    <n v="0"/>
  </r>
  <r>
    <s v="BIGSOFT SENSITIVEWITHCREAM 100 BAG KAPAK"/>
    <x v="58"/>
    <s v="BIG SOFT "/>
    <s v="BAGS"/>
    <s v="SENSITIVE"/>
    <n v="100"/>
    <n v="13.515499999999999"/>
    <n v="1.9742999999999999"/>
    <n v="2.98E-2"/>
    <n v="813.32730000000004"/>
    <n v="103.7679"/>
    <n v="1.4246000000000001"/>
  </r>
  <r>
    <s v="BIG SOFT CREAM SENS.PH5.5 W 120 BAG"/>
    <x v="58"/>
    <s v="BIG SOFT "/>
    <s v="BAGS"/>
    <s v="SENSITIVE"/>
    <n v="120"/>
    <n v="0"/>
    <n v="47.540100000000002"/>
    <n v="13.0617"/>
    <n v="0"/>
    <n v="2356.4949999999999"/>
    <n v="720.12469999999996"/>
  </r>
  <r>
    <s v="BIG SOFT SENSITIVE OLIVE OIL ALOE 70 BAG"/>
    <x v="58"/>
    <s v="BIG SOFT "/>
    <s v="BAGS"/>
    <s v="SENSITIVE"/>
    <n v="70"/>
    <n v="4.0548000000000002"/>
    <n v="2.4268999999999998"/>
    <n v="0"/>
    <n v="220.69159999999999"/>
    <n v="134.58930000000001"/>
    <n v="0"/>
  </r>
  <r>
    <s v="HAPPY FAMILY BABY PH5.5 W 70 BAG"/>
    <x v="58"/>
    <s v="HAPPY FAMILY"/>
    <s v="BAGS"/>
    <s v="PH BALANCED"/>
    <n v="70"/>
    <n v="42.300199999999997"/>
    <n v="20.829499999999999"/>
    <n v="4.8948"/>
    <n v="2912.5239999999999"/>
    <n v="1143.2672"/>
    <n v="245.0727"/>
  </r>
  <r>
    <s v="MORS CHAMOMILE PH5.5 W 120 BAG KAPAK"/>
    <x v="59"/>
    <s v="MORS "/>
    <s v="BAGS"/>
    <s v="PH BALANCED"/>
    <n v="120"/>
    <n v="12.6196"/>
    <n v="0.30170000000000002"/>
    <n v="0"/>
    <n v="774.8818"/>
    <n v="18.222799999999999"/>
    <n v="0"/>
  </r>
  <r>
    <s v="WIPEST COMFORT ALC.FREE W 120 BAG KAPAK"/>
    <x v="59"/>
    <s v="WIPEST "/>
    <s v="BAGS"/>
    <s v="ALCOHOL FREE"/>
    <n v="120"/>
    <n v="0"/>
    <n v="39.128300000000003"/>
    <n v="18.019200000000001"/>
    <n v="0"/>
    <n v="2116.4569999999999"/>
    <n v="1056.0386000000001"/>
  </r>
  <r>
    <s v="WIPEST COMFORT ALC.FREE W 72 BAG KAPAK"/>
    <x v="59"/>
    <s v="WIPEST "/>
    <s v="BAGS"/>
    <s v="ALCOHOL FREE"/>
    <n v="72"/>
    <n v="14.5854"/>
    <n v="45.532299999999999"/>
    <n v="49.915700000000001"/>
    <n v="930.23509999999999"/>
    <n v="2490.5082000000002"/>
    <n v="2411.3348000000001"/>
  </r>
  <r>
    <s v="NATY SENSITIVE ALOE VERA W 56 BAG"/>
    <x v="60"/>
    <s v="NATY "/>
    <s v="BAGS"/>
    <s v="SENSITIVE"/>
    <n v="56"/>
    <n v="0.1139"/>
    <n v="4.0300000000000002E-2"/>
    <n v="0"/>
    <n v="0.85599999999999998"/>
    <n v="0.30399999999999999"/>
    <n v="0"/>
  </r>
  <r>
    <s v="NATY SENSITIVE W 56 BAG NATY AB"/>
    <x v="60"/>
    <s v="NATY "/>
    <s v="BAGS"/>
    <s v="SENSITIVE"/>
    <n v="56"/>
    <n v="0.19919999999999999"/>
    <n v="0"/>
    <n v="0"/>
    <n v="1.496"/>
    <n v="0"/>
    <n v="0"/>
  </r>
  <r>
    <s v="FRESH BABY PREMIUM ALC.FREE W 100 BAG"/>
    <x v="61"/>
    <s v="FRESH BABY "/>
    <s v="BAGS"/>
    <s v="ALCOHOL FREE"/>
    <n v="100"/>
    <n v="4.4461000000000004"/>
    <n v="2.0626000000000002"/>
    <n v="0"/>
    <n v="234.7319"/>
    <n v="137.5095"/>
    <n v="0"/>
  </r>
  <r>
    <s v="FRESH BABY PH5.5 W 15 BAG"/>
    <x v="61"/>
    <s v="FRESH BABY "/>
    <s v="BAGS"/>
    <s v="PH BALANCED"/>
    <n v="15"/>
    <n v="0.15609999999999999"/>
    <n v="2.98E-2"/>
    <n v="0.25540000000000002"/>
    <n v="9.3703000000000003"/>
    <n v="1.4905999999999999"/>
    <n v="12.7729"/>
  </r>
  <r>
    <s v="FRESH BABY WATER 99.9% W 60 BAG"/>
    <x v="61"/>
    <s v="FRESH BABY "/>
    <s v="BAGS"/>
    <s v="WITHOUT EXTRA PROTECTCARE INDICATION"/>
    <n v="60"/>
    <n v="1.8445"/>
    <n v="0"/>
    <n v="0"/>
    <n v="41.871899999999997"/>
    <n v="0"/>
    <n v="0"/>
  </r>
  <r>
    <s v="FRESH BABY P H5.5 W 72 BAG"/>
    <x v="61"/>
    <s v="FRESH BABY "/>
    <s v="BAGS"/>
    <s v="PH BALANCED"/>
    <n v="72"/>
    <n v="0.57199999999999995"/>
    <n v="0"/>
    <n v="0"/>
    <n v="34.318100000000001"/>
    <n v="0"/>
    <n v="0"/>
  </r>
  <r>
    <s v="FRESH BABY PH5.5 W 72 BAG KAPAK"/>
    <x v="61"/>
    <s v="FRESH BABY "/>
    <s v="BAGS"/>
    <s v="PH BALANCED"/>
    <n v="72"/>
    <n v="10.123900000000001"/>
    <n v="4.3895"/>
    <n v="0"/>
    <n v="617.78060000000005"/>
    <n v="241.07740000000001"/>
    <n v="0"/>
  </r>
  <r>
    <s v="GOLDEN SENSITIVE W 120 BAG"/>
    <x v="61"/>
    <s v="GOLDEN "/>
    <s v="BAGS"/>
    <s v="SENSITIVE"/>
    <n v="120"/>
    <n v="0"/>
    <n v="56.203800000000001"/>
    <n v="22.180299999999999"/>
    <n v="0"/>
    <n v="3259.8697999999999"/>
    <n v="1260.6195"/>
  </r>
  <r>
    <s v="GOLDEN SENSITIVE W 72 BAG"/>
    <x v="61"/>
    <s v="GOLDEN "/>
    <s v="BAGS"/>
    <s v="SENSITIVE"/>
    <n v="72"/>
    <n v="0"/>
    <n v="15.356400000000001"/>
    <n v="10.720599999999999"/>
    <n v="0"/>
    <n v="847.21910000000003"/>
    <n v="534.71069999999997"/>
  </r>
  <r>
    <s v="MY FIX BABY ROSE FRESH W 80 BAG KAPAK"/>
    <x v="61"/>
    <s v="MY FIX "/>
    <s v="BAGS"/>
    <s v="WITHOUT EXTRA PROTECTCARE INDICATION"/>
    <n v="80"/>
    <n v="1.0731999999999999"/>
    <n v="0"/>
    <n v="0"/>
    <n v="47.075600000000001"/>
    <n v="0"/>
    <n v="0"/>
  </r>
  <r>
    <s v="PUFFY BABY SENSITIVE PURE W 88 BAG KAPAK"/>
    <x v="61"/>
    <s v="PUFFY "/>
    <s v="BAGS"/>
    <s v="SENSITIVE"/>
    <n v="88"/>
    <n v="2.6486999999999998"/>
    <n v="0"/>
    <n v="0"/>
    <n v="124.62050000000001"/>
    <n v="0"/>
    <n v="0"/>
  </r>
  <r>
    <s v="TITO BABY SOFT COMFORT PH5.5 W 120 BAG"/>
    <x v="61"/>
    <s v="TITO "/>
    <s v="BAGS"/>
    <s v="PH BALANCED"/>
    <n v="120"/>
    <n v="84.095799999999997"/>
    <n v="151.49979999999999"/>
    <n v="39.488900000000001"/>
    <n v="4863.5491000000002"/>
    <n v="8687.4974999999995"/>
    <n v="2240.9688000000001"/>
  </r>
  <r>
    <s v="TITO BABY PH5.5 ALC.FREE W 72 BAG KAPAK"/>
    <x v="61"/>
    <s v="TITO "/>
    <s v="BAGS"/>
    <s v="PH BALANCED"/>
    <n v="72"/>
    <n v="24.440899999999999"/>
    <n v="13.931900000000001"/>
    <n v="5.4257"/>
    <n v="1419.3269"/>
    <n v="757.8877"/>
    <n v="289.12630000000001"/>
  </r>
  <r>
    <s v="TITO BABY SOFT COMFORT PH5.5 W 72 BAG"/>
    <x v="61"/>
    <s v="TITO "/>
    <s v="BAGS"/>
    <s v="PH BALANCED"/>
    <n v="72"/>
    <n v="2.0893000000000002"/>
    <n v="2.5973000000000002"/>
    <n v="0.1109"/>
    <n v="135.5565"/>
    <n v="141.02850000000001"/>
    <n v="6.4691999999999998"/>
  </r>
  <r>
    <s v="FRESH BABY PREM.QUALITY PH5.5 W 120 BAG"/>
    <x v="62"/>
    <s v="FRESH BABY "/>
    <s v="BAGS"/>
    <s v="PH BALANCED"/>
    <n v="120"/>
    <n v="6.1833"/>
    <n v="0.61119999999999997"/>
    <n v="0"/>
    <n v="392.1592"/>
    <n v="31.181999999999999"/>
    <n v="0"/>
  </r>
  <r>
    <s v="PUFY BABY CHAMOMILE PH5.5 W 120 BAG"/>
    <x v="62"/>
    <s v="PUFY BABY"/>
    <s v="BAGS"/>
    <s v="PH BALANCED"/>
    <n v="120"/>
    <n v="2.5480999999999998"/>
    <n v="2.6009000000000002"/>
    <n v="0"/>
    <n v="132.16820000000001"/>
    <n v="141.76490000000001"/>
    <n v="0"/>
  </r>
  <r>
    <s v="SPEEDYCARE BABYLINECONCREMAMAXI 20 BAG"/>
    <x v="63"/>
    <s v="SPEEDY CARE "/>
    <s v="BAGS"/>
    <s v="HYPOALLERGENIC"/>
    <n v="20"/>
    <n v="0.15809999999999999"/>
    <n v="2E-3"/>
    <n v="1E-3"/>
    <n v="2.1"/>
    <n v="0.02"/>
    <n v="0.02"/>
  </r>
  <r>
    <s v="CAN BEBE BASIC CARE ALK.FREE W 56 BAG"/>
    <x v="64"/>
    <s v="CAN BEBE "/>
    <s v="BAGS"/>
    <s v="ALCOHOL FREE"/>
    <n v="56"/>
    <n v="6.0000000000000001E-3"/>
    <n v="0.35439999999999999"/>
    <n v="0"/>
    <n v="0.33839999999999998"/>
    <n v="16.541699999999999"/>
    <n v="0"/>
  </r>
  <r>
    <s v="KOPRINA  FreshClean 72 W BAG KAPAK"/>
    <x v="65"/>
    <s v="KOPRINA "/>
    <s v="BAGS"/>
    <s v="PH BALANCED"/>
    <n v="72"/>
    <n v="0"/>
    <n v="0"/>
    <n v="9.8000000000000004E-2"/>
    <n v="0"/>
    <n v="0"/>
    <n v="3.3592"/>
  </r>
  <r>
    <s v="BEBIKO VIP BABY ALOE VERA W 72 BAG KAPAK"/>
    <x v="66"/>
    <s v="BEBIKO "/>
    <s v="BAGS"/>
    <s v="WITHOUT EXTRA PROTECTCARE INDICATION"/>
    <n v="72"/>
    <n v="0"/>
    <n v="0.79349999999999998"/>
    <n v="0.7298"/>
    <n v="0"/>
    <n v="47.268799999999999"/>
    <n v="43.602699999999999"/>
  </r>
  <r>
    <s v="PAPATYA BABY B5&amp;VIT E PH5.5 90 W BAG"/>
    <x v="67"/>
    <s v="PAPATYA "/>
    <s v="BAGS"/>
    <s v="PH BALANCED"/>
    <n v="90"/>
    <n v="0.36020000000000002"/>
    <n v="5.21E-2"/>
    <n v="9.4000000000000004E-3"/>
    <n v="19.065100000000001"/>
    <n v="2.6206"/>
    <n v="0.48"/>
  </r>
  <r>
    <s v="PERFETTO PH5.5 ALC.FREE W 80 BAG"/>
    <x v="68"/>
    <s v="PERFETTO "/>
    <s v="BAGS"/>
    <s v="PH BALANCED"/>
    <n v="80"/>
    <n v="0"/>
    <n v="0"/>
    <n v="2.0999999999999999E-3"/>
    <n v="0"/>
    <n v="0"/>
    <n v="0.17710000000000001"/>
  </r>
  <r>
    <s v="BETTY BABY ALC.FREE W 24 BAG"/>
    <x v="69"/>
    <s v="BETTY "/>
    <s v="BAGS"/>
    <s v="ALCOHOL FREE"/>
    <n v="24"/>
    <n v="1.4545999999999999"/>
    <n v="0.15629999999999999"/>
    <n v="5.8099999999999999E-2"/>
    <n v="31.957999999999998"/>
    <n v="3.1030000000000002"/>
    <n v="1.1613"/>
  </r>
  <r>
    <s v="BETTY BABY ALC.FREE W 72 BAG"/>
    <x v="69"/>
    <s v="BETTY "/>
    <s v="BAGS"/>
    <s v="ALCOHOL FREE"/>
    <n v="72"/>
    <n v="0.69610000000000005"/>
    <n v="0"/>
    <n v="0"/>
    <n v="23.8918"/>
    <n v="0"/>
    <n v="0"/>
  </r>
  <r>
    <s v="KLORANE BEBE CALENDULA ALC.FREE W 25 BAG"/>
    <x v="70"/>
    <s v="KLORANE "/>
    <s v="BAGS"/>
    <s v="ALCOHOL FREE"/>
    <n v="25"/>
    <n v="0.83640000000000003"/>
    <n v="0.55679999999999996"/>
    <n v="0.16950000000000001"/>
    <n v="3.2871000000000001"/>
    <n v="1.9970000000000001"/>
    <n v="0.75749999999999995"/>
  </r>
  <r>
    <s v="KLORANE BEBE CALENDULA CLEAN.LOTION W 70"/>
    <x v="70"/>
    <s v="KLORANE "/>
    <s v="BAGS"/>
    <s v="ALCOHOL FREE"/>
    <n v="70"/>
    <n v="1.8599999999999998E-2"/>
    <n v="0"/>
    <n v="0"/>
    <n v="0.14000000000000001"/>
    <n v="0"/>
    <n v="0"/>
  </r>
  <r>
    <s v="KLORANE BEBE CALENDULA THICKCL. W 70 BAG"/>
    <x v="70"/>
    <s v="KLORANE "/>
    <s v="BAGS"/>
    <s v="ALCOHOL FREE"/>
    <n v="70"/>
    <n v="0.34599999999999997"/>
    <n v="0.3881"/>
    <n v="0.2717"/>
    <n v="2.4157999999999999"/>
    <n v="2.4979"/>
    <n v="1.68"/>
  </r>
  <r>
    <s v="KLORANE BEBE CALENDULA W 70 SP.TS. BAG"/>
    <x v="70"/>
    <s v="KLORANE "/>
    <s v="BAGS"/>
    <s v="ALCOHOL FREE"/>
    <n v="70"/>
    <n v="0.25569999999999998"/>
    <n v="2.6200000000000001E-2"/>
    <n v="0"/>
    <n v="2.27"/>
    <n v="0.31"/>
    <n v="0"/>
  </r>
  <r>
    <s v="FRESH BABY ALOE&amp;CALEN. PH5.5 W 60 BAG"/>
    <x v="71"/>
    <s v="FRESH BABY "/>
    <s v="BAGS"/>
    <s v="PH BALANCED"/>
    <n v="60"/>
    <n v="4.2514000000000003"/>
    <n v="9.5349000000000004"/>
    <n v="4.3247999999999998"/>
    <n v="118.9742"/>
    <n v="264.43900000000002"/>
    <n v="116.2043"/>
  </r>
  <r>
    <s v="FRESH BABY AQUA PURE PH5.5 W 60 BAG"/>
    <x v="71"/>
    <s v="FRESH BABY "/>
    <s v="BAGS"/>
    <s v="PH BALANCED"/>
    <n v="60"/>
    <n v="0"/>
    <n v="3.1814"/>
    <n v="1.8621000000000001"/>
    <n v="0"/>
    <n v="84.536500000000004"/>
    <n v="48.9773"/>
  </r>
  <r>
    <s v="FRESH BABY CARE ALOE VERA W 60 BAG"/>
    <x v="71"/>
    <s v="FRESH BABY "/>
    <s v="BAGS"/>
    <s v="WITHOUT EXTRA PROTECTCARE INDICATION"/>
    <n v="60"/>
    <n v="9.6434999999999995"/>
    <n v="0"/>
    <n v="0"/>
    <n v="280.5643"/>
    <n v="0"/>
    <n v="0"/>
  </r>
  <r>
    <s v="FRESH BABY SOFT CREAM W 60 BAG"/>
    <x v="71"/>
    <s v="FRESH BABY "/>
    <s v="BAGS"/>
    <s v="WITHOUT EXTRA PROTECTCARE INDICATION"/>
    <n v="60"/>
    <n v="12.711499999999999"/>
    <n v="0"/>
    <n v="0"/>
    <n v="374.43990000000002"/>
    <n v="0"/>
    <n v="0"/>
  </r>
  <r>
    <s v="SLIPP BEBE SENS.LOTION&amp;VITE&amp;B5 W 120 BAG"/>
    <x v="72"/>
    <s v="SLIPP "/>
    <s v="BAGS"/>
    <s v="SENSITIVE"/>
    <n v="120"/>
    <n v="0"/>
    <n v="0"/>
    <n v="0.624"/>
    <n v="0"/>
    <n v="0"/>
    <n v="34.035699999999999"/>
  </r>
  <r>
    <s v="MELANI BABY ALOEVERA&amp;VITE W 64 BAG KAPAK"/>
    <x v="73"/>
    <s v="MELANI "/>
    <s v="BAGS"/>
    <s v="WITHOUT EXTRA PROTECTCARE INDICATION"/>
    <n v="64"/>
    <n v="192.72300000000001"/>
    <n v="183.24340000000001"/>
    <n v="97.209599999999995"/>
    <n v="7900.9691000000003"/>
    <n v="6838.8454000000002"/>
    <n v="3264.5805999999998"/>
  </r>
  <r>
    <s v="PAMPERS AQUA PURE ALC.FREE 12 BAG+DIA"/>
    <x v="74"/>
    <s v="PAMPERS"/>
    <s v="BAGS"/>
    <s v="ALCOHOL FREE"/>
    <n v="12"/>
    <n v="6.59E-2"/>
    <n v="0.95820000000000005"/>
    <n v="0"/>
    <n v="0.18509999999999999"/>
    <n v="3.0327999999999999"/>
    <n v="0"/>
  </r>
  <r>
    <s v="PAMPERS AQUA PURE ALC.FREE 12 BAG+DIA28"/>
    <x v="74"/>
    <s v="PAMPERS"/>
    <s v="BAGS"/>
    <s v="ALCOHOL FREE"/>
    <n v="12"/>
    <n v="5.1000000000000004E-3"/>
    <n v="0.40570000000000001"/>
    <n v="0"/>
    <n v="1.37E-2"/>
    <n v="1.3527"/>
    <n v="0"/>
  </r>
  <r>
    <s v="PAMPERS AQUA PURE ALC.FREE 12 BAG+DIA50"/>
    <x v="74"/>
    <s v="PAMPERS"/>
    <s v="BAGS"/>
    <s v="ALCOHOL FREE"/>
    <n v="12"/>
    <n v="0.1182"/>
    <n v="1.0884"/>
    <n v="0"/>
    <n v="0.31890000000000002"/>
    <n v="3.3033999999999999"/>
    <n v="0"/>
  </r>
  <r>
    <s v="PAMPERS SENSITIVE ALC.FREE 12 BAG"/>
    <x v="74"/>
    <s v="PAMPERS"/>
    <s v="BAGS"/>
    <s v="SENSITIVE"/>
    <n v="12"/>
    <n v="0.87180000000000002"/>
    <n v="4.3999999999999997E-2"/>
    <n v="0"/>
    <n v="8.5823999999999998"/>
    <n v="0.58599999999999997"/>
    <n v="0"/>
  </r>
  <r>
    <s v="PAMPERS SENSITIVE PH5.5 12 BAG"/>
    <x v="74"/>
    <s v="PAMPERS"/>
    <s v="BAGS"/>
    <s v="SENSITIVE"/>
    <n v="12"/>
    <n v="5.4508000000000001"/>
    <n v="2.1189"/>
    <n v="0.77749999999999997"/>
    <n v="70.866600000000005"/>
    <n v="26.7118"/>
    <n v="8.9403000000000006"/>
  </r>
  <r>
    <s v="PAMPERS BABY FRESH 24 BAG"/>
    <x v="74"/>
    <s v="PAMPERS"/>
    <s v="BAGS"/>
    <s v="ALCOHOL FREE"/>
    <n v="24"/>
    <n v="9.06E-2"/>
    <n v="0"/>
    <n v="0"/>
    <n v="1.3372999999999999"/>
    <n v="0"/>
    <n v="0"/>
  </r>
  <r>
    <s v="PAMPERS SOLE E LUNA CAMOMILLA 50/25%BAG"/>
    <x v="74"/>
    <s v="PAMPERS"/>
    <s v="BAGS"/>
    <s v="WITHOUT EXTRA PROTECTCARE INDICATION"/>
    <n v="37"/>
    <n v="1.3827"/>
    <n v="0.7681"/>
    <n v="2.3199999999999998E-2"/>
    <n v="23.328099999999999"/>
    <n v="13.2523"/>
    <n v="0.52669999999999995"/>
  </r>
  <r>
    <s v="PAMPERS AQUA HARMONIE 99%WATER 3X48 BAG"/>
    <x v="74"/>
    <s v="PAMPERS"/>
    <s v="BAGS"/>
    <s v="ALCOHOL FREE"/>
    <n v="48"/>
    <n v="0"/>
    <n v="0"/>
    <n v="20.740400000000001"/>
    <n v="0"/>
    <n v="0"/>
    <n v="310.0301"/>
  </r>
  <r>
    <s v="PAMPERS AQUA HARMONIE 99%WATER AL.FR.48"/>
    <x v="74"/>
    <s v="PAMPERS"/>
    <s v="BAGS"/>
    <s v="ALCOHOL FREE"/>
    <n v="48"/>
    <n v="0"/>
    <n v="0"/>
    <n v="1.2435"/>
    <n v="0"/>
    <n v="0"/>
    <n v="17.1813"/>
  </r>
  <r>
    <s v="PAMPERS AQUA PURE ALC.FREE 3X48 BAG"/>
    <x v="74"/>
    <s v="PAMPERS"/>
    <s v="BAGS"/>
    <s v="ALCOHOL FREE"/>
    <n v="48"/>
    <n v="4.0780000000000003"/>
    <n v="35.126199999999997"/>
    <n v="26.273900000000001"/>
    <n v="71.718599999999995"/>
    <n v="592.5693"/>
    <n v="441.30500000000001"/>
  </r>
  <r>
    <s v="PAMPERS AQUA PURE ALC.FREE 48 BAG"/>
    <x v="74"/>
    <s v="PAMPERS"/>
    <s v="BAGS"/>
    <s v="ALCOHOL FREE"/>
    <n v="48"/>
    <n v="264.06810000000002"/>
    <n v="329.44319999999999"/>
    <n v="205.9486"/>
    <n v="3958.0279"/>
    <n v="5113.9928"/>
    <n v="2876.5592000000001"/>
  </r>
  <r>
    <s v="PAMPERS BABY FRESH CLEAN W 2X52 BAG"/>
    <x v="74"/>
    <s v="PAMPERS"/>
    <s v="BAGS"/>
    <s v="ALCOHOL FREE"/>
    <n v="52"/>
    <n v="8.5046999999999997"/>
    <n v="12.872299999999999"/>
    <n v="4.3821000000000003"/>
    <n v="194.4057"/>
    <n v="338.25259999999997"/>
    <n v="110.48520000000001"/>
  </r>
  <r>
    <s v="PAMPERS BABY FRESH CLEAN W 4X52 BAG"/>
    <x v="74"/>
    <s v="PAMPERS"/>
    <s v="BAGS"/>
    <s v="ALCOHOL FREE"/>
    <n v="52"/>
    <n v="171.4581"/>
    <n v="146.56880000000001"/>
    <n v="94.527100000000004"/>
    <n v="5827.8176999999996"/>
    <n v="5036.4476000000004"/>
    <n v="3121.8564000000001"/>
  </r>
  <r>
    <s v="PAMPERS BABY FRESH CLEAN W 52 BAG"/>
    <x v="74"/>
    <s v="PAMPERS"/>
    <s v="BAGS"/>
    <s v="ALCOHOL FREE"/>
    <n v="52"/>
    <n v="195.73400000000001"/>
    <n v="242.5813"/>
    <n v="163.20820000000001"/>
    <n v="3936.1988000000001"/>
    <n v="5003.2757000000001"/>
    <n v="3062.0891000000001"/>
  </r>
  <r>
    <s v="PAMPERS BABY FRESH CLEAN W 52 BAG+DIA 38"/>
    <x v="74"/>
    <s v="PAMPERS"/>
    <s v="BAGS"/>
    <s v="ALCOHOL FREE"/>
    <n v="52"/>
    <n v="0.2492"/>
    <n v="5.8500000000000003E-2"/>
    <n v="0"/>
    <n v="4.6970000000000001"/>
    <n v="1.1557999999999999"/>
    <n v="0"/>
  </r>
  <r>
    <s v="PAMPERS BABY FRESH CLEAN W 52 BAG+DIA 40"/>
    <x v="74"/>
    <s v="PAMPERS"/>
    <s v="BAGS"/>
    <s v="ALCOHOL FREE"/>
    <n v="52"/>
    <n v="0.97950000000000004"/>
    <n v="0"/>
    <n v="0"/>
    <n v="23.239000000000001"/>
    <n v="0"/>
    <n v="0"/>
  </r>
  <r>
    <s v="PAMPERS BABY FRESH CLEAN W 52 BAG+DIA 42"/>
    <x v="74"/>
    <s v="PAMPERS"/>
    <s v="BAGS"/>
    <s v="ALCOHOL FREE"/>
    <n v="52"/>
    <n v="1.0518000000000001"/>
    <n v="0"/>
    <n v="0"/>
    <n v="15.4772"/>
    <n v="0"/>
    <n v="0"/>
  </r>
  <r>
    <s v="PAMPERS BABY FRESH CLEAN W 52 BAG+DIA 44"/>
    <x v="74"/>
    <s v="PAMPERS"/>
    <s v="BAGS"/>
    <s v="ALCOHOL FREE"/>
    <n v="52"/>
    <n v="1.23"/>
    <n v="5.5100000000000003E-2"/>
    <n v="0"/>
    <n v="22.518699999999999"/>
    <n v="1.0911"/>
    <n v="0"/>
  </r>
  <r>
    <s v="PAMPERS BABY FRESH CLEAN W 52 BAG+DIA 51"/>
    <x v="74"/>
    <s v="PAMPERS"/>
    <s v="BAGS"/>
    <s v="ALCOHOL FREE"/>
    <n v="52"/>
    <n v="0.64070000000000005"/>
    <n v="0"/>
    <n v="0"/>
    <n v="15.170299999999999"/>
    <n v="0"/>
    <n v="0"/>
  </r>
  <r>
    <s v="PAMPERS BABY FRESH CLEAN W 52 BAG+DIA 52"/>
    <x v="74"/>
    <s v="PAMPERS"/>
    <s v="BAGS"/>
    <s v="ALCOHOL FREE"/>
    <n v="52"/>
    <n v="0.8125"/>
    <n v="2.2100000000000002E-2"/>
    <n v="0"/>
    <n v="14.451000000000001"/>
    <n v="0.38290000000000002"/>
    <n v="0"/>
  </r>
  <r>
    <s v="PAMPERS BABY FRESH CLEAN W 52 BAG+DIA 53"/>
    <x v="74"/>
    <s v="PAMPERS"/>
    <s v="BAGS"/>
    <s v="ALCOHOL FREE"/>
    <n v="52"/>
    <n v="0.40889999999999999"/>
    <n v="7.7899999999999997E-2"/>
    <n v="0"/>
    <n v="9.6999999999999993"/>
    <n v="1.9962"/>
    <n v="0"/>
  </r>
  <r>
    <s v="PAMPERS BABY FRESH CLEAN W 52 BAG+DIA 54"/>
    <x v="74"/>
    <s v="PAMPERS"/>
    <s v="BAGS"/>
    <s v="ALCOHOL FREE"/>
    <n v="52"/>
    <n v="1.716"/>
    <n v="0"/>
    <n v="0"/>
    <n v="43.815600000000003"/>
    <n v="0"/>
    <n v="0"/>
  </r>
  <r>
    <s v="PAMPERS BABY FRESH CLEAN W 52 BAG+DIA 58"/>
    <x v="74"/>
    <s v="PAMPERS"/>
    <s v="BAGS"/>
    <s v="ALCOHOL FREE"/>
    <n v="52"/>
    <n v="0.17050000000000001"/>
    <n v="7.7700000000000005E-2"/>
    <n v="0"/>
    <n v="3.5674000000000001"/>
    <n v="1.7087000000000001"/>
    <n v="0"/>
  </r>
  <r>
    <s v="PAMPERS BABY FRESH CLEAN W 52 BAG+DIA 60"/>
    <x v="74"/>
    <s v="PAMPERS"/>
    <s v="BAGS"/>
    <s v="ALCOHOL FREE"/>
    <n v="52"/>
    <n v="1.5501"/>
    <n v="0.42659999999999998"/>
    <n v="0.12859999999999999"/>
    <n v="28.959800000000001"/>
    <n v="8.7736999999999998"/>
    <n v="2.5320999999999998"/>
  </r>
  <r>
    <s v="PAMPERS BABY FRESH CLEAN W 52 BAG+DIA 66"/>
    <x v="74"/>
    <s v="PAMPERS"/>
    <s v="BAGS"/>
    <s v="ALCOHOL FREE"/>
    <n v="52"/>
    <n v="0.83640000000000003"/>
    <n v="0.51139999999999997"/>
    <n v="0"/>
    <n v="18.6389"/>
    <n v="9.5508000000000006"/>
    <n v="0"/>
  </r>
  <r>
    <s v="PAMPERS BABY FRESH CLEAN W 52 BAG+DIA 68"/>
    <x v="74"/>
    <s v="PAMPERS"/>
    <s v="BAGS"/>
    <s v="ALCOHOL FREE"/>
    <n v="52"/>
    <n v="0.72089999999999999"/>
    <n v="0"/>
    <n v="0"/>
    <n v="9.8262"/>
    <n v="0"/>
    <n v="0"/>
  </r>
  <r>
    <s v="PAMPERS BABY FRESH CLEAN W 52 BAG+DIA 76"/>
    <x v="74"/>
    <s v="PAMPERS"/>
    <s v="BAGS"/>
    <s v="ALCOHOL FREE"/>
    <n v="52"/>
    <n v="0.48470000000000002"/>
    <n v="0"/>
    <n v="0"/>
    <n v="10.088699999999999"/>
    <n v="0"/>
    <n v="0"/>
  </r>
  <r>
    <s v="PAMPERS BABY FRESH CLEAN W 52 BAG+DIA 78"/>
    <x v="74"/>
    <s v="PAMPERS"/>
    <s v="BAGS"/>
    <s v="ALCOHOL FREE"/>
    <n v="52"/>
    <n v="1.3634999999999999"/>
    <n v="2.1999999999999999E-2"/>
    <n v="0"/>
    <n v="21.971299999999999"/>
    <n v="0.34660000000000002"/>
    <n v="0"/>
  </r>
  <r>
    <s v="PAMPERS BABY FRESH CLEAN W 52 BAG+DIA 90"/>
    <x v="74"/>
    <s v="PAMPERS"/>
    <s v="BAGS"/>
    <s v="ALCOHOL FREE"/>
    <n v="52"/>
    <n v="0.2001"/>
    <n v="0"/>
    <n v="0"/>
    <n v="3.1530999999999998"/>
    <n v="0"/>
    <n v="0"/>
  </r>
  <r>
    <s v="PAMPERS BABY FRESH CLEAN W 52 BAG+DIA104"/>
    <x v="74"/>
    <s v="PAMPERS"/>
    <s v="BAGS"/>
    <s v="ALCOHOL FREE"/>
    <n v="52"/>
    <n v="0.30409999999999998"/>
    <n v="0"/>
    <n v="0"/>
    <n v="4.4311999999999996"/>
    <n v="0"/>
    <n v="0"/>
  </r>
  <r>
    <s v="PAMPERS BABY FRESH CLEAN W 52 BAG+DIA50"/>
    <x v="74"/>
    <s v="PAMPERS"/>
    <s v="BAGS"/>
    <s v="ALCOHOL FREE"/>
    <n v="52"/>
    <n v="1.4756"/>
    <n v="0.29549999999999998"/>
    <n v="0.13869999999999999"/>
    <n v="38.575499999999998"/>
    <n v="5.6929999999999996"/>
    <n v="2.5320999999999998"/>
  </r>
  <r>
    <s v="PAMPERS BABY FRESH CLEAN W 52+DIA PANT38"/>
    <x v="74"/>
    <s v="PAMPERS"/>
    <s v="BAGS"/>
    <s v="ALCOHOL FREE"/>
    <n v="52"/>
    <n v="0.92279999999999995"/>
    <n v="0"/>
    <n v="0"/>
    <n v="21.822199999999999"/>
    <n v="0"/>
    <n v="0"/>
  </r>
  <r>
    <s v="PAMPERS BABY FRESH CLEAN W 6X52 BAG"/>
    <x v="74"/>
    <s v="PAMPERS"/>
    <s v="BAGS"/>
    <s v="ALCOHOL FREE"/>
    <n v="52"/>
    <n v="105.723"/>
    <n v="231.39109999999999"/>
    <n v="190.30779999999999"/>
    <n v="3632.1455999999998"/>
    <n v="7878.6941999999999"/>
    <n v="6167.0902999999998"/>
  </r>
  <r>
    <s v="PAMPERS BABY FRESH CLEAN W52+DIA ACT6 44"/>
    <x v="74"/>
    <s v="PAMPERS"/>
    <s v="BAGS"/>
    <s v="ALCOHOL FREE"/>
    <n v="52"/>
    <n v="0.97140000000000004"/>
    <n v="3.1E-2"/>
    <n v="0"/>
    <n v="22.952100000000002"/>
    <n v="0.70540000000000003"/>
    <n v="0"/>
  </r>
  <r>
    <s v="PAMPERS BABY FRESH CLEAN W52+DIA PANTS60"/>
    <x v="74"/>
    <s v="PAMPERS"/>
    <s v="BAGS"/>
    <s v="ALCOHOL FREE"/>
    <n v="52"/>
    <n v="0.23680000000000001"/>
    <n v="0"/>
    <n v="0"/>
    <n v="4.3052000000000001"/>
    <n v="0"/>
    <n v="0"/>
  </r>
  <r>
    <s v="PAMPERS SENSITIVE PH5.5 2X52 BAG"/>
    <x v="74"/>
    <s v="PAMPERS"/>
    <s v="BAGS"/>
    <s v="SENSITIVE"/>
    <n v="52"/>
    <n v="40.155500000000004"/>
    <n v="53.039099999999998"/>
    <n v="19.640599999999999"/>
    <n v="809.24120000000005"/>
    <n v="1117.5988"/>
    <n v="353.57029999999997"/>
  </r>
  <r>
    <s v="PAMPERS SENSITIVE PH5.5 4X52 BAG"/>
    <x v="74"/>
    <s v="PAMPERS"/>
    <s v="BAGS"/>
    <s v="SENSITIVE"/>
    <n v="52"/>
    <n v="124.0141"/>
    <n v="119.1621"/>
    <n v="72.991100000000003"/>
    <n v="4179.8078999999998"/>
    <n v="4057.9854"/>
    <n v="2439.5360000000001"/>
  </r>
  <r>
    <s v="PAMPERS SENSITIVE PH5.5 52 BAG"/>
    <x v="74"/>
    <s v="PAMPERS"/>
    <s v="BAGS"/>
    <s v="SENSITIVE"/>
    <n v="52"/>
    <n v="126.2456"/>
    <n v="161.7927"/>
    <n v="82.616799999999998"/>
    <n v="2585.6873000000001"/>
    <n v="3416.431"/>
    <n v="1611.8206"/>
  </r>
  <r>
    <s v="PAMPERS SENSITIVE PH5.5 6X52 BAG"/>
    <x v="74"/>
    <s v="PAMPERS"/>
    <s v="BAGS"/>
    <s v="SENSITIVE"/>
    <n v="52"/>
    <n v="95.148099999999999"/>
    <n v="213.16730000000001"/>
    <n v="155.60400000000001"/>
    <n v="3171.4767999999999"/>
    <n v="7264.2154"/>
    <n v="5013.7686000000003"/>
  </r>
  <r>
    <s v="PAMPERS SENSITIVE 54 BAG KAPAK"/>
    <x v="74"/>
    <s v="PAMPERS"/>
    <s v="BAGS"/>
    <s v="SENSITIVE"/>
    <n v="54"/>
    <n v="19.249199999999998"/>
    <n v="1.4004000000000001"/>
    <n v="0"/>
    <n v="316.69850000000002"/>
    <n v="25.215900000000001"/>
    <n v="0"/>
  </r>
  <r>
    <s v="PAMPERS SENSITIVE 2X56 BAG"/>
    <x v="74"/>
    <s v="PAMPERS"/>
    <s v="BAGS"/>
    <s v="SENSITIVE"/>
    <n v="56"/>
    <n v="0.76639999999999997"/>
    <n v="3.6499999999999998E-2"/>
    <n v="0"/>
    <n v="14.48"/>
    <n v="0.67200000000000004"/>
    <n v="0"/>
  </r>
  <r>
    <s v="PAMPERS SENSITIVE 4X56 BAG"/>
    <x v="74"/>
    <s v="PAMPERS"/>
    <s v="BAGS"/>
    <s v="SENSITIVE"/>
    <n v="56"/>
    <n v="0.17649999999999999"/>
    <n v="0"/>
    <n v="0"/>
    <n v="2.9144999999999999"/>
    <n v="0"/>
    <n v="0"/>
  </r>
  <r>
    <s v="PAMPERS SENSITIVE 56 BAG"/>
    <x v="74"/>
    <s v="PAMPERS"/>
    <s v="BAGS"/>
    <s v="SENSITIVE"/>
    <n v="56"/>
    <n v="3.9998"/>
    <n v="2.0327000000000002"/>
    <n v="0.44619999999999999"/>
    <n v="76.599100000000007"/>
    <n v="45.206499999999998"/>
    <n v="9.7993000000000006"/>
  </r>
  <r>
    <s v="PAMPERS SENSITIVE 56 BAG KAPAK"/>
    <x v="74"/>
    <s v="PAMPERS"/>
    <s v="BAGS"/>
    <s v="SENSITIVE"/>
    <n v="56"/>
    <n v="3.4256000000000002"/>
    <n v="0.1051"/>
    <n v="0"/>
    <n v="52.9163"/>
    <n v="1.5987"/>
    <n v="0"/>
  </r>
  <r>
    <s v="PAMPERS SENSITIVE 56 BAG+DIA PANTS3 60"/>
    <x v="74"/>
    <s v="PAMPERS"/>
    <s v="BAGS"/>
    <s v="SENSITIVE"/>
    <n v="56"/>
    <n v="2.7799999999999998E-2"/>
    <n v="0"/>
    <n v="0"/>
    <n v="0.59"/>
    <n v="0"/>
    <n v="0"/>
  </r>
  <r>
    <s v="PAMPERS SENSITIVE 56 BAG+DIA PANTS4 52"/>
    <x v="74"/>
    <s v="PAMPERS"/>
    <s v="BAGS"/>
    <s v="SENSITIVE"/>
    <n v="56"/>
    <n v="2.0205000000000002"/>
    <n v="6.1100000000000002E-2"/>
    <n v="4.3E-3"/>
    <n v="30.746600000000001"/>
    <n v="0.89600000000000002"/>
    <n v="5.6000000000000001E-2"/>
  </r>
  <r>
    <s v="PAMPERS SENSITIVE 56 BAG+DIA PANTS5 48 1"/>
    <x v="74"/>
    <s v="PAMPERS"/>
    <s v="BAGS"/>
    <s v="SENSITIVE"/>
    <n v="56"/>
    <n v="2.1128999999999998"/>
    <n v="3.0200000000000001E-2"/>
    <n v="0"/>
    <n v="32.116500000000002"/>
    <n v="0.44800000000000001"/>
    <n v="0"/>
  </r>
  <r>
    <s v="PAMPERS SENSITIVE 56 BAG+DIA PR CARE54"/>
    <x v="74"/>
    <s v="PAMPERS"/>
    <s v="BAGS"/>
    <s v="SENSITIVE"/>
    <n v="56"/>
    <n v="0.03"/>
    <n v="5.8999999999999999E-3"/>
    <n v="0"/>
    <n v="0.67200000000000004"/>
    <n v="0.16800000000000001"/>
    <n v="0"/>
  </r>
  <r>
    <s v="PAMPERS SENSITIVE 56 BAG+DIAPREMCARE3 60"/>
    <x v="74"/>
    <s v="PAMPERS"/>
    <s v="BAGS"/>
    <s v="SENSITIVE"/>
    <n v="56"/>
    <n v="3.5200000000000002E-2"/>
    <n v="0"/>
    <n v="0"/>
    <n v="0.65949999999999998"/>
    <n v="0"/>
    <n v="0"/>
  </r>
  <r>
    <s v="PAMPERS SENSITIVE 56 BAG+DIAPREMCARE5 44"/>
    <x v="74"/>
    <s v="PAMPERS"/>
    <s v="BAGS"/>
    <s v="SENSITIVE"/>
    <n v="56"/>
    <n v="0.17460000000000001"/>
    <n v="5.2699999999999997E-2"/>
    <n v="1.09E-2"/>
    <n v="3.8159000000000001"/>
    <n v="1.4"/>
    <n v="0.28000000000000003"/>
  </r>
  <r>
    <s v="PAMPERS SENSITIVE 6X56/2BR FREE BAG"/>
    <x v="74"/>
    <s v="PAMPERS"/>
    <s v="BAGS"/>
    <s v="SENSITIVE"/>
    <n v="56"/>
    <n v="1.0412999999999999"/>
    <n v="0"/>
    <n v="0"/>
    <n v="23.5031"/>
    <n v="0"/>
    <n v="0"/>
  </r>
  <r>
    <s v="PAMPERS SENSITIVE CAMOMILE&amp;ALOE 56 BAG"/>
    <x v="74"/>
    <s v="PAMPERS"/>
    <s v="BAGS"/>
    <s v="SENSITIVE"/>
    <n v="56"/>
    <n v="3.8100000000000002E-2"/>
    <n v="7.4000000000000003E-3"/>
    <n v="1.11E-2"/>
    <n v="0.67200000000000004"/>
    <n v="0.112"/>
    <n v="0.16800000000000001"/>
  </r>
  <r>
    <s v="PAMPERS SENSITIVE SOFTLIKECOTTON 56 BAG"/>
    <x v="74"/>
    <s v="PAMPERS"/>
    <s v="BAGS"/>
    <s v="SENSITIVE"/>
    <n v="56"/>
    <n v="1.0855999999999999"/>
    <n v="0.58120000000000005"/>
    <n v="0"/>
    <n v="19.170200000000001"/>
    <n v="10.2963"/>
    <n v="0"/>
  </r>
  <r>
    <s v="PAMPERS SENSITIVE W 6X56/336 BAG"/>
    <x v="74"/>
    <s v="PAMPERS"/>
    <s v="BAGS"/>
    <s v="SENSITIVE"/>
    <n v="56"/>
    <n v="0.72109999999999996"/>
    <n v="5.3105000000000002"/>
    <n v="0"/>
    <n v="13.8162"/>
    <n v="130.43450000000001"/>
    <n v="0"/>
  </r>
  <r>
    <s v="PAMPERS SENSITIVE XXL W 6X56/2BR FR BAG"/>
    <x v="74"/>
    <s v="PAMPERS"/>
    <s v="BAGS"/>
    <s v="SENSITIVE"/>
    <n v="56"/>
    <n v="0.80620000000000003"/>
    <n v="0"/>
    <n v="0"/>
    <n v="18.060500000000001"/>
    <n v="0"/>
    <n v="0"/>
  </r>
  <r>
    <s v="PAMPERS BABY FRESH ALOE W 64 BAG"/>
    <x v="74"/>
    <s v="PAMPERS"/>
    <s v="BAGS"/>
    <s v="ALCOHOL FREE"/>
    <n v="64"/>
    <n v="15.5359"/>
    <n v="0.67789999999999995"/>
    <n v="0"/>
    <n v="345.3125"/>
    <n v="13.0631"/>
    <n v="0"/>
  </r>
  <r>
    <s v="PAMPERS BABY FRESH CLEAN W 4X64 BAG"/>
    <x v="74"/>
    <s v="PAMPERS"/>
    <s v="BAGS"/>
    <s v="WITHOUT EXTRA PROTECTCARE INDICATION"/>
    <n v="64"/>
    <n v="0.33579999999999999"/>
    <n v="0"/>
    <n v="0"/>
    <n v="9.1472999999999995"/>
    <n v="0"/>
    <n v="0"/>
  </r>
  <r>
    <s v="PAMPERS BABY FRESH CLEAN W 64 BAG"/>
    <x v="74"/>
    <s v="PAMPERS"/>
    <s v="BAGS"/>
    <s v="WITHOUT EXTRA PROTECTCARE INDICATION"/>
    <n v="64"/>
    <n v="27.901900000000001"/>
    <n v="8.1903000000000006"/>
    <n v="0.88470000000000004"/>
    <n v="618.1096"/>
    <n v="185.2071"/>
    <n v="18.353999999999999"/>
  </r>
  <r>
    <s v="PAMPERS BABY FRESH CLEAN W 64 BAG+DIA 42"/>
    <x v="74"/>
    <s v="PAMPERS"/>
    <s v="BAGS"/>
    <s v="WITHOUT EXTRA PROTECTCARE INDICATION"/>
    <n v="64"/>
    <n v="2.58E-2"/>
    <n v="7.9000000000000008E-3"/>
    <n v="0"/>
    <n v="0.57599999999999996"/>
    <n v="0.38400000000000001"/>
    <n v="0"/>
  </r>
  <r>
    <s v="PAMPERS BABY FRESH CLEAN W 64 BAG+DIA68"/>
    <x v="74"/>
    <s v="PAMPERS"/>
    <s v="BAGS"/>
    <s v="WITHOUT EXTRA PROTECTCARE INDICATION"/>
    <n v="64"/>
    <n v="0.55289999999999995"/>
    <n v="0.47820000000000001"/>
    <n v="8.14E-2"/>
    <n v="17.2395"/>
    <n v="16.416799999999999"/>
    <n v="2.5183"/>
  </r>
  <r>
    <s v="PAMPERS BABY FRESH CLEAN W 6X64/384 BAG"/>
    <x v="74"/>
    <s v="PAMPERS"/>
    <s v="BAGS"/>
    <s v="WITHOUT EXTRA PROTECTCARE INDICATION"/>
    <n v="64"/>
    <n v="3.53"/>
    <n v="1.6247"/>
    <n v="0"/>
    <n v="92.468000000000004"/>
    <n v="38.321599999999997"/>
    <n v="0"/>
  </r>
  <r>
    <s v="PAMPERS BABY FRESH ECONOMY W 2X64 BAG"/>
    <x v="74"/>
    <s v="PAMPERS"/>
    <s v="BAGS"/>
    <s v="ALCOHOL FREE"/>
    <n v="64"/>
    <n v="0.42930000000000001"/>
    <n v="0.67159999999999997"/>
    <n v="0"/>
    <n v="9.3439999999999994"/>
    <n v="12.986599999999999"/>
    <n v="0"/>
  </r>
  <r>
    <s v="PAMPERS BABYFRESHCLEAN ALOE W 6X64/2BRFR"/>
    <x v="74"/>
    <s v="PAMPERS"/>
    <s v="BAGS"/>
    <s v="WITHOUT EXTRA PROTECTCARE INDICATION"/>
    <n v="64"/>
    <n v="0.48170000000000002"/>
    <n v="0"/>
    <n v="0"/>
    <n v="13.007199999999999"/>
    <n v="0"/>
    <n v="0"/>
  </r>
  <r>
    <s v="PAMPERS BABYFRESHCLEAN W 3X64/1FREE BAG"/>
    <x v="74"/>
    <s v="PAMPERS"/>
    <s v="BAGS"/>
    <s v="WITHOUT EXTRA PROTECTCARE INDICATION"/>
    <n v="64"/>
    <n v="0"/>
    <n v="0"/>
    <n v="8.9800000000000005E-2"/>
    <n v="0"/>
    <n v="0"/>
    <n v="1.9842"/>
  </r>
  <r>
    <s v="PAMPERS CLEAN&amp;PLAY 64 BAG"/>
    <x v="74"/>
    <s v="PAMPERS"/>
    <s v="BAGS"/>
    <s v="WITHOUT EXTRA PROTECTCARE INDICATION"/>
    <n v="64"/>
    <n v="0"/>
    <n v="0"/>
    <n v="0.16889999999999999"/>
    <n v="0"/>
    <n v="0"/>
    <n v="4.3247"/>
  </r>
  <r>
    <s v="PAMPERS NATURAL CLEAN W 64 BAG KAPAK"/>
    <x v="74"/>
    <s v="PAMPERS"/>
    <s v="BAGS"/>
    <s v="WITHOUT EXTRA PROTECTCARE INDICATION"/>
    <n v="64"/>
    <n v="4.2949000000000002"/>
    <n v="0.33839999999999998"/>
    <n v="0"/>
    <n v="87.926599999999993"/>
    <n v="6.2496999999999998"/>
    <n v="0"/>
  </r>
  <r>
    <s v="PAMPERS NATURALCLEAN FRAGR.FREE W 64 BAG"/>
    <x v="74"/>
    <s v="PAMPERS"/>
    <s v="BAGS"/>
    <s v="WITHOUT EXTRA PROTECTCARE INDICATION"/>
    <n v="64"/>
    <n v="13.5303"/>
    <n v="2.3972000000000002"/>
    <n v="0.73670000000000002"/>
    <n v="272.4522"/>
    <n v="43.2258"/>
    <n v="13.669700000000001"/>
  </r>
  <r>
    <s v="PAMPERS NATURALLY CLEAN W 4X64 BAG"/>
    <x v="74"/>
    <s v="PAMPERS"/>
    <s v="BAGS"/>
    <s v="WITHOUT EXTRA PROTECTCARE INDICATION"/>
    <n v="64"/>
    <n v="8.9724000000000004"/>
    <n v="2.3250000000000002"/>
    <n v="9.6000000000000002E-2"/>
    <n v="202.00700000000001"/>
    <n v="55.267699999999998"/>
    <n v="2.0488"/>
  </r>
  <r>
    <s v="PAMPERS NATURALLY CLEAN+CHAMOMILE W 2X64"/>
    <x v="74"/>
    <s v="PAMPERS"/>
    <s v="BAGS"/>
    <s v="WITHOUT EXTRA PROTECTCARE INDICATION"/>
    <n v="64"/>
    <n v="0.24310000000000001"/>
    <n v="0.1048"/>
    <n v="0"/>
    <n v="5.5039999999999996"/>
    <n v="2.3589000000000002"/>
    <n v="0"/>
  </r>
  <r>
    <s v="PAMPERS BABY FRESH CLEAN XXL W 80 BAG"/>
    <x v="74"/>
    <s v="PAMPERS"/>
    <s v="BAGS"/>
    <s v="ALCOHOL FREE"/>
    <n v="80"/>
    <n v="299.24509999999998"/>
    <n v="239.40260000000001"/>
    <n v="70.132900000000006"/>
    <n v="8505.4575000000004"/>
    <n v="6543.0663999999997"/>
    <n v="1626.3281999999999"/>
  </r>
  <r>
    <s v="PAMPERS SENSITIVE PH5.5 XXL 80 BAG"/>
    <x v="74"/>
    <s v="PAMPERS"/>
    <s v="BAGS"/>
    <s v="SENSITIVE"/>
    <n v="80"/>
    <n v="228.9504"/>
    <n v="220.107"/>
    <n v="99.616699999999994"/>
    <n v="6068.1558999999997"/>
    <n v="5788.4287000000004"/>
    <n v="2377.8838000000001"/>
  </r>
  <r>
    <s v="PAMPERS HARMONIE COCO AL.FREE 3X42 BAG"/>
    <x v="74"/>
    <s v="PAMPERS"/>
    <s v="BAGS"/>
    <s v="ALCOHOL FREE"/>
    <n v="42"/>
    <n v="0"/>
    <n v="0"/>
    <n v="4.2099999999999999E-2"/>
    <n v="0"/>
    <n v="0"/>
    <n v="0.45"/>
  </r>
  <r>
    <s v="PAMPERS HARMONIE COCO AL.FREE 42 BAG"/>
    <x v="74"/>
    <s v="PAMPERS"/>
    <s v="BAGS"/>
    <s v="ALCOHOL FREE"/>
    <n v="42"/>
    <n v="0"/>
    <n v="0"/>
    <n v="0.3543"/>
    <n v="0"/>
    <n v="0"/>
    <n v="4.1279000000000003"/>
  </r>
  <r>
    <s v="PAMPERS PURE COCONUT AL.FREE 3X42 BAG"/>
    <x v="74"/>
    <s v="PAMPERS"/>
    <s v="BAGS"/>
    <s v="ALCOHOL FREE"/>
    <n v="42"/>
    <n v="9.0039999999999996"/>
    <n v="27.005199999999999"/>
    <n v="7.3737000000000004"/>
    <n v="168.55369999999999"/>
    <n v="470.04379999999998"/>
    <n v="117.492"/>
  </r>
  <r>
    <s v="PAMPERS PURE COCONUT AL.FREE 42 BAG"/>
    <x v="74"/>
    <s v="PAMPERS"/>
    <s v="BAGS"/>
    <s v="ALCOHOL FREE"/>
    <n v="42"/>
    <n v="9.5648"/>
    <n v="36.633899999999997"/>
    <n v="14.959"/>
    <n v="136.73179999999999"/>
    <n v="512.46489999999994"/>
    <n v="178.05029999999999"/>
  </r>
  <r>
    <s v="PAMPERS 72 R BAG"/>
    <x v="74"/>
    <s v="PAMPERS"/>
    <s v="BAGS"/>
    <s v="WITHOUT EXTRA PROTECTCARE INDICATION"/>
    <n v="72"/>
    <n v="0.18679999999999999"/>
    <n v="0"/>
    <n v="0"/>
    <n v="4.4957000000000003"/>
    <n v="0"/>
    <n v="0"/>
  </r>
  <r>
    <s v="PAMPERS SENSITIVE 56 BOX"/>
    <x v="74"/>
    <s v="PAMPERS"/>
    <s v="BOX"/>
    <s v="SENSITIVE"/>
    <n v="56"/>
    <n v="0.2319"/>
    <n v="0"/>
    <n v="0"/>
    <n v="3.4005999999999998"/>
    <n v="0"/>
    <n v="0"/>
  </r>
  <r>
    <s v="PRIMA HASSAS CILTLER W 56 BAG"/>
    <x v="74"/>
    <s v="PRIMA "/>
    <s v="BAGS"/>
    <s v="SENSITIVE"/>
    <n v="56"/>
    <n v="0.2671"/>
    <n v="0"/>
    <n v="0"/>
    <n v="5.0296000000000003"/>
    <n v="0"/>
    <n v="0"/>
  </r>
  <r>
    <s v="PRIMA  FreshClean ALOE W 64 BAG"/>
    <x v="74"/>
    <s v="PRIMA "/>
    <s v="BAGS"/>
    <s v="WITHOUT EXTRA PROTECTCARE INDICATION"/>
    <n v="64"/>
    <n v="0.10589999999999999"/>
    <n v="1.12E-2"/>
    <n v="0"/>
    <n v="2.2591999999999999"/>
    <n v="0.2389"/>
    <n v="0"/>
  </r>
  <r>
    <s v="URIAGE BEBE HYPOALERGENIC W 2X70/1FR BAG"/>
    <x v="75"/>
    <s v="URIAGE "/>
    <s v="BAGS"/>
    <s v="ALCOHOL FREE &amp; HYPOALLERGENIC"/>
    <n v="70"/>
    <n v="2.1598999999999999"/>
    <n v="5.1025"/>
    <n v="6.3079000000000001"/>
    <n v="36.4"/>
    <n v="77.862799999999993"/>
    <n v="91.042100000000005"/>
  </r>
  <r>
    <s v="URIAGE BEBE HYPOALERGENIC W 70 BAG"/>
    <x v="75"/>
    <s v="URIAGE "/>
    <s v="BAGS"/>
    <s v="ALCOHOL FREE &amp; HYPOALLERGENIC"/>
    <n v="70"/>
    <n v="10.1408"/>
    <n v="7.4416000000000002"/>
    <n v="2.3571"/>
    <n v="91.191500000000005"/>
    <n v="64.807599999999994"/>
    <n v="19.349299999999999"/>
  </r>
  <r>
    <s v="BIMBO&amp;BIMBA CHAMOMILE&amp;ALOE W 80 BAG"/>
    <x v="76"/>
    <s v="BIMBO &amp; BIMBA "/>
    <s v="BAGS"/>
    <s v="PH BALANCED"/>
    <n v="80"/>
    <n v="2.9045000000000001"/>
    <n v="0"/>
    <n v="0"/>
    <n v="116.9823"/>
    <n v="0"/>
    <n v="0"/>
  </r>
  <r>
    <s v="BIMBO&amp;BIMBA CHAMOMILE&amp;CALENDULA W 80 BAG"/>
    <x v="76"/>
    <s v="BIMBO &amp; BIMBA "/>
    <s v="BAGS"/>
    <s v="WITHOUT EXTRA PROTECTCARE INDICATION"/>
    <n v="80"/>
    <n v="2.9113000000000002"/>
    <n v="0"/>
    <n v="0"/>
    <n v="119.83880000000001"/>
    <n v="0"/>
    <n v="0"/>
  </r>
  <r>
    <s v="BIMBO&amp;BIMBA CHAMOMILE&amp;LAVENDER W 80 BAG"/>
    <x v="76"/>
    <s v="BIMBO &amp; BIMBA "/>
    <s v="BAGS"/>
    <s v="WITHOUT EXTRA PROTECTCARE INDICATION"/>
    <n v="80"/>
    <n v="4.2324000000000002"/>
    <n v="0"/>
    <n v="0"/>
    <n v="171.05330000000001"/>
    <n v="0"/>
    <n v="0"/>
  </r>
  <r>
    <s v="BIMBO&amp;BIMBA CHAMOMILE&amp;SMRADLIKA W 80 BAG"/>
    <x v="76"/>
    <s v="BIMBO &amp; BIMBA "/>
    <s v="BAGS"/>
    <s v="PH BALANCED"/>
    <n v="80"/>
    <n v="2.6360000000000001"/>
    <n v="0"/>
    <n v="0"/>
    <n v="103.9999"/>
    <n v="0"/>
    <n v="0"/>
  </r>
  <r>
    <s v="VIBELLE BABY RASPBERRY VIT E PH5.5 W 144"/>
    <x v="76"/>
    <s v="VIBELLE "/>
    <s v="BAGS"/>
    <s v="PH BALANCED"/>
    <n v="144"/>
    <n v="59.2014"/>
    <n v="82.022099999999995"/>
    <n v="31.495899999999999"/>
    <n v="4163.6220999999996"/>
    <n v="5172.0583999999999"/>
    <n v="1931.7985000000001"/>
  </r>
  <r>
    <s v="VIBELLE BABY ULTRA SENS.ROSE PH5.5 W 144"/>
    <x v="76"/>
    <s v="VIBELLE "/>
    <s v="BAGS"/>
    <s v="PH BALANCED"/>
    <n v="144"/>
    <n v="6.7272999999999996"/>
    <n v="1.7110000000000001"/>
    <n v="1.5649999999999999"/>
    <n v="473.34"/>
    <n v="112.14570000000001"/>
    <n v="108.86020000000001"/>
  </r>
  <r>
    <s v="BELUX BABY SENS.CREAM LOTION W 120 BAG"/>
    <x v="77"/>
    <s v="BELUX "/>
    <s v="BAGS"/>
    <s v="SENSITIVE"/>
    <n v="120"/>
    <n v="53.944000000000003"/>
    <n v="41.741"/>
    <n v="12.7791"/>
    <n v="3422.2186000000002"/>
    <n v="2176.2671999999998"/>
    <n v="723.71550000000002"/>
  </r>
  <r>
    <s v="BELUX ULTRA SENSITIVE W 120/48GRATIS BAG"/>
    <x v="77"/>
    <s v="BELUX "/>
    <s v="BAGS"/>
    <s v="SENSITIVE"/>
    <n v="72"/>
    <n v="10.5024"/>
    <n v="1.2988"/>
    <n v="0.38090000000000002"/>
    <n v="626.13580000000002"/>
    <n v="67.750100000000003"/>
    <n v="17.785299999999999"/>
  </r>
  <r>
    <s v="SECKIN PROVITB5 PH5.5 ALC.FREE W 102 BAG"/>
    <x v="77"/>
    <s v="SECKIN "/>
    <s v="BAGS"/>
    <s v="PH BALANCED"/>
    <n v="102"/>
    <n v="1.4174"/>
    <n v="2.3006000000000002"/>
    <n v="0"/>
    <n v="78.384500000000003"/>
    <n v="113.29300000000001"/>
    <n v="0"/>
  </r>
  <r>
    <s v="SOFT CARE COTTON VIT ECHAMOMILE W 72 BAG"/>
    <x v="78"/>
    <s v="SOFT CARE "/>
    <s v="BAGS"/>
    <s v="HYPOALLERGENIC"/>
    <n v="72"/>
    <n v="2.9096000000000002"/>
    <n v="6.0198"/>
    <n v="5.5109000000000004"/>
    <n v="55.366500000000002"/>
    <n v="108.4705"/>
    <n v="98.710099999999997"/>
  </r>
  <r>
    <s v="HOPS P H5.5 W 90/18BONUS ORANJEVI BAG"/>
    <x v="79"/>
    <s v="HOPS "/>
    <s v="BAGS"/>
    <s v="PH BALANCED"/>
    <n v="72"/>
    <n v="0"/>
    <n v="0"/>
    <n v="9.1999999999999998E-3"/>
    <n v="0"/>
    <n v="0"/>
    <n v="0.30320000000000003"/>
  </r>
  <r>
    <s v="DOCTOR WIPES BABY GRAPES W 60 BAG KAPAK"/>
    <x v="80"/>
    <s v="DOCTOR WIPES"/>
    <s v="BAGS"/>
    <s v="PH BALANCED"/>
    <n v="60"/>
    <n v="0.35610000000000003"/>
    <n v="0"/>
    <n v="0"/>
    <n v="5.6227"/>
    <n v="0"/>
    <n v="0"/>
  </r>
  <r>
    <s v="DOCTOR WIPES BABY W 72 BAG &amp;&amp;&amp;"/>
    <x v="80"/>
    <s v="DOCTOR WIPES"/>
    <s v="BAGS"/>
    <s v="WITHOUT EXTRA PROTECTCARE INDICATION"/>
    <n v="72"/>
    <n v="1.3764000000000001"/>
    <n v="2.7699999999999999E-2"/>
    <n v="0"/>
    <n v="28.943100000000001"/>
    <n v="0.64290000000000003"/>
    <n v="0"/>
  </r>
  <r>
    <s v="MEDPROFESSIONAL BABYPOWDERARGANOIL W 24"/>
    <x v="80"/>
    <s v="MEDPROFFESIONAL "/>
    <s v="BAGS"/>
    <s v="ALCOHOL FREE"/>
    <n v="24"/>
    <n v="6.7664999999999997"/>
    <n v="0.54779999999999995"/>
    <n v="0"/>
    <n v="162.6651"/>
    <n v="12.7288"/>
    <n v="0"/>
  </r>
  <r>
    <s v="MED PROFESSIONAL BABY ALOE VERA W 60 BAG"/>
    <x v="80"/>
    <s v="MEDPROFFESIONAL "/>
    <s v="BAGS"/>
    <s v="ALCOHOL FREE"/>
    <n v="60"/>
    <n v="14.513400000000001"/>
    <n v="11.551399999999999"/>
    <n v="8.6715"/>
    <n v="383.46769999999998"/>
    <n v="307.81580000000002"/>
    <n v="255.3304"/>
  </r>
  <r>
    <s v="MEDPROFESSIONAL BABYGRAPESEEDOIL W 60BAG"/>
    <x v="80"/>
    <s v="MEDPROFFESIONAL "/>
    <s v="BAGS"/>
    <s v="ALCOHOL FREE"/>
    <n v="60"/>
    <n v="17.654699999999998"/>
    <n v="12.539"/>
    <n v="4.6113"/>
    <n v="482.61590000000001"/>
    <n v="340.10579999999999"/>
    <n v="153.12389999999999"/>
  </r>
  <r>
    <s v="SPRING LINE  FreshClean W 120 BAG &amp;&amp;&amp;"/>
    <x v="80"/>
    <s v="SPRING LINE "/>
    <s v="BAGS"/>
    <s v="WITHOUT EXTRA PROTECTCARE INDICATION"/>
    <n v="120"/>
    <n v="20.231999999999999"/>
    <n v="11.313700000000001"/>
    <n v="0"/>
    <n v="583.67819999999995"/>
    <n v="345.19709999999998"/>
    <n v="0"/>
  </r>
  <r>
    <s v="GIAN BABY CREAM PH5.5 W 120 BAG"/>
    <x v="81"/>
    <s v="GIAN "/>
    <s v="BAGS"/>
    <s v="PH BALANCED"/>
    <n v="120"/>
    <n v="0"/>
    <n v="20.586300000000001"/>
    <n v="29.262499999999999"/>
    <n v="0"/>
    <n v="1265.0245"/>
    <n v="1657.2372"/>
  </r>
  <r>
    <s v="GIAN BABY CREAM PH5.5 W 72 BAG"/>
    <x v="81"/>
    <s v="GIAN "/>
    <s v="BAGS"/>
    <s v="PH BALANCED"/>
    <n v="72"/>
    <n v="26.3474"/>
    <n v="52.005499999999998"/>
    <n v="32.744900000000001"/>
    <n v="920.46799999999996"/>
    <n v="1819.1769999999999"/>
    <n v="1062.7058999999999"/>
  </r>
  <r>
    <s v="SEBAMED BABYCLEANSING EXTRASOFT W 72 BAG"/>
    <x v="82"/>
    <s v="SEBAMED "/>
    <s v="BAGS"/>
    <s v="WITHOUT EXTRA PROTECTCARE INDICATION"/>
    <n v="72"/>
    <n v="0.1701"/>
    <n v="0.71989999999999998"/>
    <n v="4.9299999999999997E-2"/>
    <n v="1.008"/>
    <n v="3.8765000000000001"/>
    <n v="0.28799999999999998"/>
  </r>
  <r>
    <s v="SEBAMED BABY OIL WIPES W 70 BOX"/>
    <x v="82"/>
    <s v="SEBAMED "/>
    <s v="BOX"/>
    <s v="WITHOUT EXTRA PROTECTCARE INDICATION"/>
    <n v="70"/>
    <n v="0.8034"/>
    <n v="0.64690000000000003"/>
    <n v="0.2069"/>
    <n v="3.92"/>
    <n v="3.48"/>
    <n v="1.1399999999999999"/>
  </r>
  <r>
    <s v="MAMMI PH5.5 ALC.FREE W 72 BAG SINI"/>
    <x v="83"/>
    <s v="MAMMI "/>
    <s v="BAGS"/>
    <s v="PH BALANCED"/>
    <n v="72"/>
    <n v="16.393699999999999"/>
    <n v="13.5199"/>
    <n v="5.5843999999999996"/>
    <n v="841.14940000000001"/>
    <n v="693.07759999999996"/>
    <n v="305.17070000000001"/>
  </r>
  <r>
    <s v="MAMMI PH5.5 ALC.FREE W 72 BAG ZELENI"/>
    <x v="83"/>
    <s v="MAMMI "/>
    <s v="BAGS"/>
    <s v="PH BALANCED"/>
    <n v="72"/>
    <n v="2.1175000000000002"/>
    <n v="0.66620000000000001"/>
    <n v="0"/>
    <n v="137.34479999999999"/>
    <n v="41.348700000000001"/>
    <n v="0"/>
  </r>
  <r>
    <s v="ASALI BABY ULTRA SOFT VIT.E W 120 BAG"/>
    <x v="84"/>
    <s v="ASALI "/>
    <s v="BAGS"/>
    <s v="PH BALANCED"/>
    <n v="120"/>
    <n v="1.9984999999999999"/>
    <n v="3.2300000000000002E-2"/>
    <n v="0"/>
    <n v="141.71469999999999"/>
    <n v="1.9971000000000001"/>
    <n v="0"/>
  </r>
  <r>
    <s v="COTTON SOFT CHAMOMILE ALC.FREE W 100 BAG"/>
    <x v="84"/>
    <s v="COTTON SOFT "/>
    <s v="BAGS"/>
    <s v="ALCOHOL FREE"/>
    <n v="100"/>
    <n v="136.17420000000001"/>
    <n v="152.24180000000001"/>
    <n v="70.924899999999994"/>
    <n v="7155.8876"/>
    <n v="7606.2596000000003"/>
    <n v="3236.7058000000002"/>
  </r>
  <r>
    <s v="COTTON SOFT PH5.5 W 120 BAG KAPAK"/>
    <x v="84"/>
    <s v="COTTON SOFT "/>
    <s v="BAGS"/>
    <s v="PH BALANCED"/>
    <n v="120"/>
    <n v="166.38550000000001"/>
    <n v="154.19909999999999"/>
    <n v="78.409199999999998"/>
    <n v="8805.9477000000006"/>
    <n v="8032.0802000000003"/>
    <n v="3983.7687000000001"/>
  </r>
  <r>
    <s v="COTTON SOFT PH5.5 W 72 BAG KAPAK"/>
    <x v="84"/>
    <s v="COTTON SOFT "/>
    <s v="BAGS"/>
    <s v="PH BALANCED"/>
    <n v="72"/>
    <n v="7.4499999999999997E-2"/>
    <n v="0"/>
    <n v="0"/>
    <n v="5.2851999999999997"/>
    <n v="0"/>
    <n v="0"/>
  </r>
  <r>
    <s v="COTTON SOFT W 72 BAG"/>
    <x v="84"/>
    <s v="COTTON SOFT "/>
    <s v="BAGS"/>
    <s v="WITHOUT EXTRA PROTECTCARE INDICATION"/>
    <n v="72"/>
    <n v="4.2912999999999997"/>
    <n v="3.2158000000000002"/>
    <n v="0.39529999999999998"/>
    <n v="253.55109999999999"/>
    <n v="179.24690000000001"/>
    <n v="19.092600000000001"/>
  </r>
  <r>
    <s v="ELVIM BABY JUMBO SENSITIVE W 120 BAG"/>
    <x v="84"/>
    <s v="ELVIM "/>
    <s v="BAGS"/>
    <s v="SENSITIVE"/>
    <n v="120"/>
    <n v="12.5473"/>
    <n v="21.5989"/>
    <n v="10.3498"/>
    <n v="734.85479999999995"/>
    <n v="1234.4389000000001"/>
    <n v="587.04769999999996"/>
  </r>
  <r>
    <s v="ELVIM ULTRA SENSITIVE VIT E&amp;B5 W 70 BAG"/>
    <x v="84"/>
    <s v="ELVIM "/>
    <s v="BAGS"/>
    <s v="SENSITIVE"/>
    <n v="70"/>
    <n v="0.68669999999999998"/>
    <n v="0"/>
    <n v="0"/>
    <n v="52.465899999999998"/>
    <n v="0"/>
    <n v="0"/>
  </r>
  <r>
    <s v="ELVIM BABY ULTRASENSITIVE LOTION&amp;VITE 72"/>
    <x v="84"/>
    <s v="ELVIM "/>
    <s v="BAGS"/>
    <s v="SENSITIVE"/>
    <n v="72"/>
    <n v="37.213999999999999"/>
    <n v="7.2126999999999999"/>
    <n v="0"/>
    <n v="2501.2190000000001"/>
    <n v="451.55340000000001"/>
    <n v="0"/>
  </r>
  <r>
    <s v="ELVIM BABY ULTRASENSITIVE LOTION&amp;VITE 90"/>
    <x v="84"/>
    <s v="ELVIM "/>
    <s v="BAGS"/>
    <s v="SENSITIVE"/>
    <n v="90"/>
    <n v="2.7111999999999998"/>
    <n v="0"/>
    <n v="0"/>
    <n v="136.8194"/>
    <n v="0"/>
    <n v="0"/>
  </r>
  <r>
    <s v="FLAMINGO BABY ULTRASENS.LOTION&amp;VITE 70 B"/>
    <x v="84"/>
    <s v="FLAMINGO "/>
    <s v="BAGS"/>
    <s v="SENSITIVE"/>
    <n v="70"/>
    <n v="0"/>
    <n v="19.032699999999998"/>
    <n v="19.713699999999999"/>
    <n v="0"/>
    <n v="1111.0531000000001"/>
    <n v="1063.3096"/>
  </r>
  <r>
    <s v="INCI FRESH VITE&amp;PROVITB5 ALC.FREE W 100"/>
    <x v="84"/>
    <s v="INCI FRESH"/>
    <s v="BAGS"/>
    <s v="ALCOHOL FREE"/>
    <n v="100"/>
    <n v="1.0042"/>
    <n v="0"/>
    <n v="0"/>
    <n v="76.638000000000005"/>
    <n v="0"/>
    <n v="0"/>
  </r>
  <r>
    <s v="INCI FRESH VITE&amp;PROVITB5 PH5.5 W 120 BAG"/>
    <x v="84"/>
    <s v="INCI FRESH"/>
    <s v="BAGS"/>
    <s v="PH BALANCED"/>
    <n v="120"/>
    <n v="251.465"/>
    <n v="145.75579999999999"/>
    <n v="77.822699999999998"/>
    <n v="15122.0514"/>
    <n v="8717.0684000000001"/>
    <n v="4462.7493999999997"/>
  </r>
  <r>
    <s v="INCI FRESH ULTRASOFT VITE&amp;PROVITB5 W 144"/>
    <x v="84"/>
    <s v="INCI FRESH"/>
    <s v="BAGS"/>
    <s v="ALCOHOL FREE"/>
    <n v="144"/>
    <n v="15.856"/>
    <n v="22.015000000000001"/>
    <n v="3.4060000000000001"/>
    <n v="1023.9475"/>
    <n v="1391.8684000000001"/>
    <n v="229.50649999999999"/>
  </r>
  <r>
    <s v="INCI FRESH VITE&amp;PROVITB5 PH5.5 W 60 BAG"/>
    <x v="84"/>
    <s v="INCI FRESH"/>
    <s v="BAGS"/>
    <s v="PH BALANCED"/>
    <n v="60"/>
    <n v="0"/>
    <n v="0"/>
    <n v="0.28920000000000001"/>
    <n v="0"/>
    <n v="0"/>
    <n v="17.3521"/>
  </r>
  <r>
    <s v="INCI FRESH VITE&amp;PROVITB5 PH5.5 W 72 BAG"/>
    <x v="84"/>
    <s v="INCI FRESH"/>
    <s v="BAGS"/>
    <s v="PH BALANCED"/>
    <n v="72"/>
    <n v="2.5535999999999999"/>
    <n v="3.8500999999999999"/>
    <n v="0.82650000000000001"/>
    <n v="126.3817"/>
    <n v="174.249"/>
    <n v="46.762"/>
  </r>
  <r>
    <s v="INCI FRESH VITE&amp;PROVITB5 PH5.5 W 90/18FR"/>
    <x v="84"/>
    <s v="INCI FRESH"/>
    <s v="BAGS"/>
    <s v="PH BALANCED"/>
    <n v="72"/>
    <n v="0"/>
    <n v="0.25659999999999999"/>
    <n v="0"/>
    <n v="0"/>
    <n v="13.196899999999999"/>
    <n v="0"/>
  </r>
  <r>
    <s v="SEPTONA CALM NCARE CHAMOM BABY 12 W BAG"/>
    <x v="85"/>
    <s v="SEPTONA "/>
    <s v="BAGS"/>
    <s v="ALCOHOL FREE"/>
    <n v="12"/>
    <n v="0"/>
    <n v="0.5504"/>
    <n v="0.74670000000000003"/>
    <n v="0"/>
    <n v="6.7556000000000003"/>
    <n v="9.0073000000000008"/>
  </r>
  <r>
    <s v="SEPTONA ALOE VERA BABY ALC.FREE 20 BAG"/>
    <x v="85"/>
    <s v="SEPTONA "/>
    <s v="BAGS"/>
    <s v="ALCOHOL FREE"/>
    <n v="20"/>
    <n v="4.7511999999999999"/>
    <n v="3.7549000000000001"/>
    <n v="1.1405000000000001"/>
    <n v="70.328999999999994"/>
    <n v="55.465600000000002"/>
    <n v="16.475899999999999"/>
  </r>
  <r>
    <s v="SEPTONA CHAMOMILE BABY 20 W BAG"/>
    <x v="85"/>
    <s v="SEPTONA "/>
    <s v="BAGS"/>
    <s v="WITHOUT EXTRA PROTECTCARE INDICATION"/>
    <n v="20"/>
    <n v="1.23E-2"/>
    <n v="2.7799999999999998E-2"/>
    <n v="0"/>
    <n v="0.18"/>
    <n v="0.46179999999999999"/>
    <n v="0"/>
  </r>
  <r>
    <s v="SEPTONA SENSITIVE ALMOND&amp;MILK W 20 BAG"/>
    <x v="85"/>
    <s v="SEPTONA "/>
    <s v="BAGS"/>
    <s v="SENSITIVE"/>
    <n v="20"/>
    <n v="11.1968"/>
    <n v="6.3734000000000002"/>
    <n v="1.3038000000000001"/>
    <n v="170.3914"/>
    <n v="94.576999999999998"/>
    <n v="19.252400000000002"/>
  </r>
  <r>
    <s v="SEPTONA SENSITIVE CALMN CARE W 54 BAG"/>
    <x v="85"/>
    <s v="SEPTONA "/>
    <s v="BAGS"/>
    <s v="SENSITIVE"/>
    <n v="54"/>
    <n v="0"/>
    <n v="0.89970000000000006"/>
    <n v="2.4813999999999998"/>
    <n v="0"/>
    <n v="21.057300000000001"/>
    <n v="55.505499999999998"/>
  </r>
  <r>
    <s v="SEPTONA CALM NCARE PANTENOL W 57 BAG"/>
    <x v="85"/>
    <s v="SEPTONA "/>
    <s v="BAGS"/>
    <s v="ALCOHOL FREE"/>
    <n v="57"/>
    <n v="2.3999999999999998E-3"/>
    <n v="0"/>
    <n v="0"/>
    <n v="5.7000000000000002E-2"/>
    <n v="0"/>
    <n v="0"/>
  </r>
  <r>
    <s v="SEPTONA ALOE VERA BABY 64 BAG"/>
    <x v="85"/>
    <s v="SEPTONA "/>
    <s v="BAGS"/>
    <s v="WITHOUT EXTRA PROTECTCARE INDICATION"/>
    <n v="64"/>
    <n v="0.22650000000000001"/>
    <n v="0"/>
    <n v="0"/>
    <n v="7.2465999999999999"/>
    <n v="0"/>
    <n v="0"/>
  </r>
  <r>
    <s v="SEPTONA CHAMOMILE BABY 3X64/1GR W BAG"/>
    <x v="85"/>
    <s v="SEPTONA "/>
    <s v="BAGS"/>
    <s v="PH BALANCED"/>
    <n v="64"/>
    <n v="0.74809999999999999"/>
    <n v="0"/>
    <n v="0"/>
    <n v="25.650500000000001"/>
    <n v="0"/>
    <n v="0"/>
  </r>
  <r>
    <s v="SEPTONA CHAMOMILE BABY 64 W BAG"/>
    <x v="85"/>
    <s v="SEPTONA "/>
    <s v="BAGS"/>
    <s v="PH BALANCED"/>
    <n v="64"/>
    <n v="7.1352000000000002"/>
    <n v="0.98229999999999995"/>
    <n v="0.17499999999999999"/>
    <n v="199.79089999999999"/>
    <n v="31.398199999999999"/>
    <n v="5.5553999999999997"/>
  </r>
  <r>
    <s v="SEPTONA CHAMOMILE BABY 64 W BAG KAPAK"/>
    <x v="85"/>
    <s v="SEPTONA "/>
    <s v="BAGS"/>
    <s v="PH BALANCED"/>
    <n v="64"/>
    <n v="38.636499999999998"/>
    <n v="25.403500000000001"/>
    <n v="9.4920000000000009"/>
    <n v="1064.7156"/>
    <n v="712.85350000000005"/>
    <n v="244.268"/>
  </r>
  <r>
    <s v="SEPTONA SENSITIVE ALMOND&amp;MILK W 64 BAG"/>
    <x v="85"/>
    <s v="SEPTONA "/>
    <s v="BAGS"/>
    <s v="SENSITIVE"/>
    <n v="64"/>
    <n v="3.0739999999999998"/>
    <n v="0.314"/>
    <n v="6.4199999999999993E-2"/>
    <n v="79.571700000000007"/>
    <n v="7.3994999999999997"/>
    <n v="1.5809"/>
  </r>
  <r>
    <s v="SEPTONA SENSITIVE CALMN CARE W 64 BAG"/>
    <x v="85"/>
    <s v="SEPTONA "/>
    <s v="BAGS"/>
    <s v="SENSITIVE"/>
    <n v="64"/>
    <n v="57.373899999999999"/>
    <n v="28.978999999999999"/>
    <n v="4.5244999999999997"/>
    <n v="1605.2121"/>
    <n v="798.29169999999999"/>
    <n v="128.11799999999999"/>
  </r>
  <r>
    <s v="SEPTONA MILD FRAGANCE ALC.FREE W 72 BAG"/>
    <x v="85"/>
    <s v="SEPTONA "/>
    <s v="BAGS"/>
    <s v="ALCOHOL FREE"/>
    <n v="72"/>
    <n v="0.84319999999999995"/>
    <n v="0"/>
    <n v="0"/>
    <n v="38.896500000000003"/>
    <n v="0"/>
    <n v="0"/>
  </r>
  <r>
    <s v="SEPTONA CALM NCARE PANTENOL W 75 BAG"/>
    <x v="85"/>
    <s v="SEPTONA "/>
    <s v="BAGS"/>
    <s v="ALCOHOL FREE"/>
    <n v="75"/>
    <n v="0.32700000000000001"/>
    <n v="7.9399999999999998E-2"/>
    <n v="0"/>
    <n v="8.1380999999999997"/>
    <n v="2.0009000000000001"/>
    <n v="0"/>
  </r>
  <r>
    <s v="SEPTONA CALMN CARE ALOE VERA W 80 BAG"/>
    <x v="85"/>
    <s v="SEPTONA "/>
    <s v="BAGS"/>
    <s v="ALCOHOL FREE"/>
    <n v="80"/>
    <n v="30.607399999999998"/>
    <n v="87.617999999999995"/>
    <n v="25.586099999999998"/>
    <n v="1468.2443000000001"/>
    <n v="4062.0709999999999"/>
    <n v="1119.9051999999999"/>
  </r>
  <r>
    <s v="IASSMIN BABY CREAM PH5.5 W 72 BAG"/>
    <x v="86"/>
    <s v="IASSMIN "/>
    <s v="BAGS"/>
    <s v="PH BALANCED"/>
    <n v="72"/>
    <n v="0.26200000000000001"/>
    <n v="0.1656"/>
    <n v="0"/>
    <n v="18.860299999999999"/>
    <n v="11.920500000000001"/>
    <n v="0"/>
  </r>
  <r>
    <s v="JUNIOR&amp;TOMMY SENSITIVE W 120 BAG KAPAK"/>
    <x v="86"/>
    <s v="JUNIOR &amp; TOMMY "/>
    <s v="BAGS"/>
    <s v="SENSITIVE"/>
    <n v="120"/>
    <n v="8.2482000000000006"/>
    <n v="0.97330000000000005"/>
    <n v="0"/>
    <n v="505.78250000000003"/>
    <n v="58.400799999999997"/>
    <n v="0"/>
  </r>
  <r>
    <s v="NIKI BABY ALC.FREE W 130/10FR BAG KAPAK"/>
    <x v="86"/>
    <s v="NIKI "/>
    <s v="BAGS"/>
    <s v="ALCOHOL FREE"/>
    <n v="120"/>
    <n v="5.7763"/>
    <n v="9.2917000000000005"/>
    <n v="0.95250000000000001"/>
    <n v="311.05720000000002"/>
    <n v="539.97619999999995"/>
    <n v="61.781700000000001"/>
  </r>
  <r>
    <s v="PEPINO BABY P H5.5 W 120/20FREE BAG"/>
    <x v="86"/>
    <s v="PEPINO "/>
    <s v="BAGS"/>
    <s v="PH BALANCED"/>
    <n v="100"/>
    <n v="55.7286"/>
    <n v="53.311300000000003"/>
    <n v="19.850100000000001"/>
    <n v="3644.6801999999998"/>
    <n v="3675.9913999999999"/>
    <n v="1253.7541000000001"/>
  </r>
  <r>
    <s v="PEPINO BABY P H5.5 W 130/10FREE BAG"/>
    <x v="86"/>
    <s v="PEPINO "/>
    <s v="BAGS"/>
    <s v="ALCOHOL FREE"/>
    <n v="120"/>
    <n v="0"/>
    <n v="4.4955999999999996"/>
    <n v="0"/>
    <n v="0"/>
    <n v="365.2654"/>
    <n v="0"/>
  </r>
  <r>
    <s v="PEPINO BABY SOFT&amp;LUX P H5.5 W 70 BAG"/>
    <x v="86"/>
    <s v="PEPINO "/>
    <s v="BAGS"/>
    <s v="PH BALANCED"/>
    <n v="70"/>
    <n v="5.5199999999999999E-2"/>
    <n v="0"/>
    <n v="0"/>
    <n v="3.36"/>
    <n v="0"/>
    <n v="0"/>
  </r>
  <r>
    <s v="RENKLI MAGIC P H5.5 W 120 BAG KAPAK"/>
    <x v="86"/>
    <s v="RENKLI "/>
    <s v="BAGS"/>
    <s v="PH BALANCED"/>
    <n v="120"/>
    <n v="5.3959999999999999"/>
    <n v="7.0095999999999998"/>
    <n v="3.0608"/>
    <n v="290.08819999999997"/>
    <n v="393.84969999999998"/>
    <n v="158.0343"/>
  </r>
  <r>
    <s v="RENKLI PREMIUM BABY ALC.FREE W 130 BAG"/>
    <x v="86"/>
    <s v="RENKLI "/>
    <s v="BAGS"/>
    <s v="ALCOHOL FREE"/>
    <n v="130"/>
    <n v="39.775100000000002"/>
    <n v="29.160399999999999"/>
    <n v="6.0876999999999999"/>
    <n v="2342.4566"/>
    <n v="1534.7882999999999"/>
    <n v="287.5865"/>
  </r>
  <r>
    <s v="RENKLI BABY KIDS P H5.5 W 72 BAG"/>
    <x v="86"/>
    <s v="RENKLI "/>
    <s v="BAGS"/>
    <s v="PH BALANCED"/>
    <n v="72"/>
    <n v="73.361099999999993"/>
    <n v="57.603700000000003"/>
    <n v="12.2355"/>
    <n v="4307.2969000000003"/>
    <n v="3235.6705999999999"/>
    <n v="650.06870000000004"/>
  </r>
  <r>
    <s v="RENKLI BABY KIDS P H5.5 W 72 BAG KAPAK"/>
    <x v="86"/>
    <s v="RENKLI "/>
    <s v="BAGS"/>
    <s v="PH BALANCED"/>
    <n v="72"/>
    <n v="7.6637000000000004"/>
    <n v="5.7187999999999999"/>
    <n v="3.4293999999999998"/>
    <n v="412.75630000000001"/>
    <n v="314.68810000000002"/>
    <n v="185.42320000000001"/>
  </r>
  <r>
    <s v="RENKLI ZOO ANTIBACTERIAL W 72 BAG KAPAK"/>
    <x v="86"/>
    <s v="RENKLI "/>
    <s v="BAGS"/>
    <s v="PH BALANCED"/>
    <n v="72"/>
    <n v="97.800700000000006"/>
    <n v="61.680799999999998"/>
    <n v="23.825800000000001"/>
    <n v="4426.3535000000002"/>
    <n v="2861.6763999999998"/>
    <n v="975.65369999999996"/>
  </r>
  <r>
    <s v="RENKLI BABY LUX PH5.5 W 2X80 BAG"/>
    <x v="86"/>
    <s v="RENKLI "/>
    <s v="BAGS"/>
    <s v="PH BALANCED"/>
    <n v="80"/>
    <n v="137.74010000000001"/>
    <n v="71.2029"/>
    <n v="36.735799999999998"/>
    <n v="9592.0316999999995"/>
    <n v="4713.7775000000001"/>
    <n v="2155.8667"/>
  </r>
  <r>
    <s v="RENKLI BABY LUX W 80 BAG KAPACHE"/>
    <x v="86"/>
    <s v="RENKLI "/>
    <s v="BAGS"/>
    <s v="ALCOHOL FREE"/>
    <n v="80"/>
    <n v="34.508099999999999"/>
    <n v="21.348800000000001"/>
    <n v="13.753299999999999"/>
    <n v="2073.3334"/>
    <n v="1342.2397000000001"/>
    <n v="736.28099999999995"/>
  </r>
  <r>
    <s v="SWEET BABY ALOEVERA PH5.5 W 72 BAG KAPAK"/>
    <x v="86"/>
    <s v="SWEET  BABY"/>
    <s v="BAGS"/>
    <s v="PH BALANCED"/>
    <n v="72"/>
    <n v="0"/>
    <n v="3.1300000000000001E-2"/>
    <n v="0"/>
    <n v="0"/>
    <n v="1.2579"/>
    <n v="0"/>
  </r>
  <r>
    <s v="FARMACOTONE BEBE CALENDULA SENS. 60 BAG"/>
    <x v="87"/>
    <s v="FARMACOTONE "/>
    <s v="BAGS"/>
    <s v="SENSITIVE"/>
    <n v="60"/>
    <n v="7.7399999999999997E-2"/>
    <n v="0.20100000000000001"/>
    <n v="1.1599999999999999E-2"/>
    <n v="1.2943"/>
    <n v="3.8485999999999998"/>
    <n v="0.1971"/>
  </r>
  <r>
    <s v="FARMACOTONE BIO ALOE&amp;ALMOND PH5.5 72 BAG"/>
    <x v="87"/>
    <s v="FARMACOTONE "/>
    <s v="BAGS"/>
    <s v="PH BALANCED"/>
    <n v="72"/>
    <n v="6.8400000000000002E-2"/>
    <n v="9.8500000000000004E-2"/>
    <n v="3.8800000000000001E-2"/>
    <n v="1.5943000000000001"/>
    <n v="2.7256999999999998"/>
    <n v="0.93600000000000005"/>
  </r>
  <r>
    <s v="VOI MULTI VITAMINS PH5.5 W 100 BAG SINI"/>
    <x v="88"/>
    <s v="VOI "/>
    <s v="BAGS"/>
    <s v="PH BALANCED"/>
    <n v="100"/>
    <n v="1.2095"/>
    <n v="0"/>
    <n v="0"/>
    <n v="58.601599999999998"/>
    <n v="0"/>
    <n v="0"/>
  </r>
  <r>
    <s v="VOI CREAM LOTION PH5.5 W 120 BAG KAPAK"/>
    <x v="88"/>
    <s v="VOI "/>
    <s v="BAGS"/>
    <s v="PH BALANCED"/>
    <n v="120"/>
    <n v="3.4049"/>
    <n v="0"/>
    <n v="0"/>
    <n v="181.5942"/>
    <n v="0"/>
    <n v="0"/>
  </r>
  <r>
    <s v="VOI CHAMOMILE PH5.5 W 72 BAG KAPAK"/>
    <x v="88"/>
    <s v="VOI "/>
    <s v="BAGS"/>
    <s v="PH BALANCED"/>
    <n v="72"/>
    <n v="0.27539999999999998"/>
    <n v="0"/>
    <n v="0"/>
    <n v="11.6632"/>
    <n v="0"/>
    <n v="0"/>
  </r>
  <r>
    <s v="VOI CREAM LOTION PH5.5 W 72 BAG KAPAK"/>
    <x v="88"/>
    <s v="VOI "/>
    <s v="BAGS"/>
    <s v="PH BALANCED"/>
    <n v="72"/>
    <n v="0.36249999999999999"/>
    <n v="0"/>
    <n v="0"/>
    <n v="17.400500000000001"/>
    <n v="0"/>
    <n v="0"/>
  </r>
  <r>
    <s v="TOVA  FreshClean PH5.5 W 120 BAG"/>
    <x v="89"/>
    <s v="TOVA "/>
    <s v="BAGS"/>
    <s v="PH BALANCED"/>
    <n v="120"/>
    <n v="0"/>
    <n v="0"/>
    <n v="3.1633"/>
    <n v="0"/>
    <n v="0"/>
    <n v="171.71680000000001"/>
  </r>
  <r>
    <s v="ALVESTA BABY PH5.5 W 120 BAG KAPAK"/>
    <x v="90"/>
    <s v="ALVESTA "/>
    <s v="BAGS"/>
    <s v="PH BALANCED"/>
    <n v="120"/>
    <n v="0"/>
    <n v="10.313499999999999"/>
    <n v="10.635400000000001"/>
    <n v="0"/>
    <n v="475.9119"/>
    <n v="461.80500000000001"/>
  </r>
  <r>
    <s v="ALVESTA BABY PH5.5 W 72 BAG KAPAK"/>
    <x v="90"/>
    <s v="ALVESTA "/>
    <s v="BAGS"/>
    <s v="PH BALANCED"/>
    <n v="72"/>
    <n v="54.988799999999998"/>
    <n v="32.909799999999997"/>
    <n v="13.822900000000001"/>
    <n v="1994.8981000000001"/>
    <n v="1164.6792"/>
    <n v="463.84859999999998"/>
  </r>
  <r>
    <s v="MIS MAK CLEANSE&amp;REFRESH PH5.5 W 72 BAG"/>
    <x v="90"/>
    <s v="MIS MAK "/>
    <s v="BAGS"/>
    <s v="PH BALANCED"/>
    <n v="72"/>
    <n v="0.1076"/>
    <n v="0.1249"/>
    <n v="7.1900000000000006E-2"/>
    <n v="5.5374999999999996"/>
    <n v="6.4203000000000001"/>
    <n v="3.698"/>
  </r>
  <r>
    <s v="BIVY BABY NEWBORN W 60 BAG KAPAK"/>
    <x v="91"/>
    <s v="BIVY"/>
    <s v="BAGS"/>
    <s v="ALCOHOL FREE"/>
    <n v="60"/>
    <n v="0.30349999999999999"/>
    <n v="7.7100000000000002E-2"/>
    <n v="0"/>
    <n v="10.7111"/>
    <n v="2.9864999999999999"/>
    <n v="0"/>
  </r>
  <r>
    <s v="BIVY SOFT&amp;FRESH PROVITB5&amp;VITE W 72 BAG"/>
    <x v="91"/>
    <s v="BIVY"/>
    <s v="BAGS"/>
    <s v="ALCOHOL FREE"/>
    <n v="72"/>
    <n v="34.620800000000003"/>
    <n v="13.6218"/>
    <n v="2.1793999999999998"/>
    <n v="2351.0409"/>
    <n v="917.37919999999997"/>
    <n v="151.65029999999999"/>
  </r>
  <r>
    <s v="DAISY BABY WET WIPES W 120 BAG"/>
    <x v="92"/>
    <s v="DAISY "/>
    <s v="BAGS"/>
    <s v="WITHOUT EXTRA PROTECTCARE INDICATION"/>
    <n v="120"/>
    <n v="0"/>
    <n v="0"/>
    <n v="1.9407000000000001"/>
    <n v="0"/>
    <n v="0"/>
    <n v="110.1146"/>
  </r>
  <r>
    <s v="BEBECAN PH5.5 W 72 BAG TNCR GIDA KAPAK"/>
    <x v="93"/>
    <s v="BEBECAN "/>
    <s v="BAGS"/>
    <s v="PH BALANCED"/>
    <n v="72"/>
    <n v="2.0785999999999998"/>
    <n v="7.1199999999999999E-2"/>
    <n v="0"/>
    <n v="104.04649999999999"/>
    <n v="3.8216000000000001"/>
    <n v="0"/>
  </r>
  <r>
    <s v="HUGO BABY ALC.FREE W 120 BAG"/>
    <x v="94"/>
    <s v="HUGO BABY "/>
    <s v="BAGS"/>
    <s v="ALCOHOL FREE"/>
    <n v="120"/>
    <n v="0"/>
    <n v="0"/>
    <n v="0.1532"/>
    <n v="0"/>
    <n v="0"/>
    <n v="9.1946999999999992"/>
  </r>
  <r>
    <s v="PROSOFT VITE&amp;PROVITB5 W 72 BAG CHERVENI"/>
    <x v="94"/>
    <s v="PROSOFT "/>
    <s v="BAGS"/>
    <s v="ALCOHOL FREE"/>
    <n v="72"/>
    <n v="0"/>
    <n v="2.8000000000000001E-2"/>
    <n v="14.061199999999999"/>
    <n v="0"/>
    <n v="1.8513999999999999"/>
    <n v="850.57989999999995"/>
  </r>
  <r>
    <s v="PROSOFT VITE&amp;PROVITB5 W 72 BAG ZELENI"/>
    <x v="94"/>
    <s v="PROSOFT "/>
    <s v="BAGS"/>
    <s v="ALCOHOL FREE"/>
    <n v="72"/>
    <n v="0"/>
    <n v="3.1899999999999998E-2"/>
    <n v="8.1054999999999993"/>
    <n v="0"/>
    <n v="2.1086"/>
    <n v="502.96"/>
  </r>
  <r>
    <s v="UNAC BABY LOTION&amp;VIT.E AL.FREE W 120 BAG"/>
    <x v="95"/>
    <s v="UNAC "/>
    <s v="BAGS"/>
    <s v="ALCOHOL FREE"/>
    <n v="120"/>
    <n v="25.839099999999998"/>
    <n v="9.0121000000000002"/>
    <n v="10.0204"/>
    <n v="1539.4739"/>
    <n v="509.45670000000001"/>
    <n v="585.52229999999997"/>
  </r>
  <r>
    <s v="DOVE BABY RICHMOISTURE ALC.FREE W 50 BAG"/>
    <x v="96"/>
    <s v="DOVE "/>
    <s v="BAGS"/>
    <s v="ALCOHOL FREE &amp; HYPOALLERGENIC"/>
    <n v="50"/>
    <n v="9.0969999999999995"/>
    <n v="13.0891"/>
    <n v="4.6460999999999997"/>
    <n v="134.3818"/>
    <n v="186.4109"/>
    <n v="56.316099999999999"/>
  </r>
  <r>
    <s v="DOVE BABY SENSITIVE MOISTURE W 50 BAG"/>
    <x v="96"/>
    <s v="DOVE "/>
    <s v="BAGS"/>
    <s v="SENSITIVE"/>
    <n v="50"/>
    <n v="10.3986"/>
    <n v="26.6724"/>
    <n v="21.6234"/>
    <n v="151.6679"/>
    <n v="465.6979"/>
    <n v="443.52179999999998"/>
  </r>
  <r>
    <s v="BEBECAN BABY PH5.5 W 72 BAG YESIL"/>
    <x v="97"/>
    <s v="BEBECAN "/>
    <s v="BAGS"/>
    <s v="PH BALANCED"/>
    <n v="72"/>
    <n v="1.8396999999999999"/>
    <n v="4.3616000000000001"/>
    <n v="0"/>
    <n v="115.49760000000001"/>
    <n v="300.46589999999998"/>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x v="0"/>
    <x v="0"/>
    <x v="0"/>
    <x v="0"/>
    <x v="0"/>
    <x v="0"/>
    <n v="1.9350000000000001"/>
    <n v="0.624"/>
    <n v="0"/>
    <n v="24.822900000000001"/>
    <n v="9.4085999999999999"/>
    <n v="0"/>
  </r>
  <r>
    <x v="1"/>
    <x v="1"/>
    <x v="1"/>
    <x v="0"/>
    <x v="0"/>
    <x v="1"/>
    <n v="1.09E-2"/>
    <n v="0"/>
    <n v="0"/>
    <n v="0.16"/>
    <n v="0"/>
    <n v="0"/>
  </r>
  <r>
    <x v="2"/>
    <x v="2"/>
    <x v="2"/>
    <x v="0"/>
    <x v="1"/>
    <x v="2"/>
    <n v="81.467399999999998"/>
    <n v="92.903000000000006"/>
    <n v="52.511899999999997"/>
    <n v="2980.7042999999999"/>
    <n v="3415.3553999999999"/>
    <n v="1823.0734"/>
  </r>
  <r>
    <x v="3"/>
    <x v="2"/>
    <x v="2"/>
    <x v="0"/>
    <x v="1"/>
    <x v="2"/>
    <n v="165.22800000000001"/>
    <n v="172.68430000000001"/>
    <n v="91.1357"/>
    <n v="5930.9056"/>
    <n v="6183.6273000000001"/>
    <n v="3125.7986999999998"/>
  </r>
  <r>
    <x v="4"/>
    <x v="2"/>
    <x v="2"/>
    <x v="0"/>
    <x v="1"/>
    <x v="3"/>
    <n v="842.87239999999997"/>
    <n v="745.33579999999995"/>
    <n v="366.95890000000003"/>
    <n v="38888.539799999999"/>
    <n v="31985.000499999998"/>
    <n v="14135.173000000001"/>
  </r>
  <r>
    <x v="5"/>
    <x v="2"/>
    <x v="2"/>
    <x v="0"/>
    <x v="0"/>
    <x v="4"/>
    <n v="12.774800000000001"/>
    <n v="10.866"/>
    <n v="6.7743000000000002"/>
    <n v="151.26679999999999"/>
    <n v="127.18680000000001"/>
    <n v="77.459400000000002"/>
  </r>
  <r>
    <x v="6"/>
    <x v="2"/>
    <x v="2"/>
    <x v="0"/>
    <x v="0"/>
    <x v="4"/>
    <n v="20.055299999999999"/>
    <n v="17.836099999999998"/>
    <n v="11.187099999999999"/>
    <n v="231.08779999999999"/>
    <n v="217.71180000000001"/>
    <n v="141.00800000000001"/>
  </r>
  <r>
    <x v="7"/>
    <x v="2"/>
    <x v="2"/>
    <x v="0"/>
    <x v="1"/>
    <x v="4"/>
    <n v="1.2461"/>
    <n v="7.7651000000000003"/>
    <n v="2.2378"/>
    <n v="20.960899999999999"/>
    <n v="127.6666"/>
    <n v="33.570999999999998"/>
  </r>
  <r>
    <x v="8"/>
    <x v="2"/>
    <x v="2"/>
    <x v="0"/>
    <x v="2"/>
    <x v="4"/>
    <n v="9.6471999999999998"/>
    <n v="10.7577"/>
    <n v="7.0723000000000003"/>
    <n v="112.20610000000001"/>
    <n v="131.05279999999999"/>
    <n v="85.719800000000006"/>
  </r>
  <r>
    <x v="9"/>
    <x v="2"/>
    <x v="2"/>
    <x v="0"/>
    <x v="0"/>
    <x v="5"/>
    <n v="0.1235"/>
    <n v="0"/>
    <n v="0"/>
    <n v="2.2799999999999998"/>
    <n v="0"/>
    <n v="0"/>
  </r>
  <r>
    <x v="10"/>
    <x v="2"/>
    <x v="2"/>
    <x v="0"/>
    <x v="1"/>
    <x v="6"/>
    <n v="0"/>
    <n v="0"/>
    <n v="7.1128"/>
    <n v="0"/>
    <n v="0"/>
    <n v="247.09899999999999"/>
  </r>
  <r>
    <x v="11"/>
    <x v="2"/>
    <x v="2"/>
    <x v="0"/>
    <x v="1"/>
    <x v="6"/>
    <n v="0.18310000000000001"/>
    <n v="0.1116"/>
    <n v="0.38700000000000001"/>
    <n v="5.8884999999999996"/>
    <n v="3.7909999999999999"/>
    <n v="14.3827"/>
  </r>
  <r>
    <x v="12"/>
    <x v="2"/>
    <x v="2"/>
    <x v="0"/>
    <x v="0"/>
    <x v="7"/>
    <n v="1.8938999999999999"/>
    <n v="0"/>
    <n v="0.22520000000000001"/>
    <n v="49.9726"/>
    <n v="0"/>
    <n v="6.9500999999999999"/>
  </r>
  <r>
    <x v="13"/>
    <x v="2"/>
    <x v="2"/>
    <x v="0"/>
    <x v="0"/>
    <x v="7"/>
    <n v="1.3514999999999999"/>
    <n v="1.6999999999999999E-3"/>
    <n v="0"/>
    <n v="37.322600000000001"/>
    <n v="6.4000000000000001E-2"/>
    <n v="0"/>
  </r>
  <r>
    <x v="14"/>
    <x v="2"/>
    <x v="2"/>
    <x v="0"/>
    <x v="1"/>
    <x v="7"/>
    <n v="5.8978000000000002"/>
    <n v="0.1087"/>
    <n v="0"/>
    <n v="169.58080000000001"/>
    <n v="3.3822999999999999"/>
    <n v="0"/>
  </r>
  <r>
    <x v="15"/>
    <x v="2"/>
    <x v="2"/>
    <x v="0"/>
    <x v="2"/>
    <x v="7"/>
    <n v="0.69669999999999999"/>
    <n v="28.392900000000001"/>
    <n v="2.1978"/>
    <n v="25.606300000000001"/>
    <n v="1226.3661999999999"/>
    <n v="96.438800000000001"/>
  </r>
  <r>
    <x v="16"/>
    <x v="2"/>
    <x v="2"/>
    <x v="0"/>
    <x v="0"/>
    <x v="8"/>
    <n v="117.6534"/>
    <n v="68.117699999999999"/>
    <n v="28.349900000000002"/>
    <n v="3055.9405999999999"/>
    <n v="1781.8513"/>
    <n v="711.07719999999995"/>
  </r>
  <r>
    <x v="17"/>
    <x v="2"/>
    <x v="2"/>
    <x v="0"/>
    <x v="0"/>
    <x v="8"/>
    <n v="38.677799999999998"/>
    <n v="31.4983"/>
    <n v="9.7551000000000005"/>
    <n v="954.11220000000003"/>
    <n v="803.28520000000003"/>
    <n v="236.19829999999999"/>
  </r>
  <r>
    <x v="18"/>
    <x v="2"/>
    <x v="2"/>
    <x v="0"/>
    <x v="1"/>
    <x v="8"/>
    <n v="6.1199999999999997E-2"/>
    <n v="0"/>
    <n v="0"/>
    <n v="1.6046"/>
    <n v="0"/>
    <n v="0"/>
  </r>
  <r>
    <x v="19"/>
    <x v="2"/>
    <x v="2"/>
    <x v="0"/>
    <x v="1"/>
    <x v="8"/>
    <n v="36.521799999999999"/>
    <n v="5.1192000000000002"/>
    <n v="1.1213"/>
    <n v="1199.5277000000001"/>
    <n v="135.36869999999999"/>
    <n v="30.554400000000001"/>
  </r>
  <r>
    <x v="20"/>
    <x v="2"/>
    <x v="2"/>
    <x v="0"/>
    <x v="1"/>
    <x v="8"/>
    <n v="21.958300000000001"/>
    <n v="39.467100000000002"/>
    <n v="10.7844"/>
    <n v="726.31399999999996"/>
    <n v="1508.4713999999999"/>
    <n v="314.52640000000002"/>
  </r>
  <r>
    <x v="21"/>
    <x v="2"/>
    <x v="2"/>
    <x v="0"/>
    <x v="1"/>
    <x v="8"/>
    <n v="27.983599999999999"/>
    <n v="162.41050000000001"/>
    <n v="103.16800000000001"/>
    <n v="928.81529999999998"/>
    <n v="5484.9444999999996"/>
    <n v="3446.0194999999999"/>
  </r>
  <r>
    <x v="22"/>
    <x v="2"/>
    <x v="2"/>
    <x v="0"/>
    <x v="0"/>
    <x v="8"/>
    <n v="221.17019999999999"/>
    <n v="159.9896"/>
    <n v="77.865600000000001"/>
    <n v="6715.8593000000001"/>
    <n v="4333.2687999999998"/>
    <n v="2035.5381"/>
  </r>
  <r>
    <x v="23"/>
    <x v="2"/>
    <x v="2"/>
    <x v="0"/>
    <x v="1"/>
    <x v="8"/>
    <n v="6.4486999999999997"/>
    <n v="1.6863999999999999"/>
    <n v="0"/>
    <n v="194.65190000000001"/>
    <n v="50.700299999999999"/>
    <n v="0"/>
  </r>
  <r>
    <x v="24"/>
    <x v="2"/>
    <x v="2"/>
    <x v="0"/>
    <x v="1"/>
    <x v="8"/>
    <n v="1663.8369"/>
    <n v="1815.6596999999999"/>
    <n v="1049.2485999999999"/>
    <n v="62012.672500000001"/>
    <n v="68679.966"/>
    <n v="37856.881999999998"/>
  </r>
  <r>
    <x v="25"/>
    <x v="2"/>
    <x v="2"/>
    <x v="0"/>
    <x v="0"/>
    <x v="1"/>
    <n v="1.7698"/>
    <n v="0.36170000000000002"/>
    <n v="0.20810000000000001"/>
    <n v="50.220500000000001"/>
    <n v="12.068099999999999"/>
    <n v="5.4642999999999997"/>
  </r>
  <r>
    <x v="26"/>
    <x v="2"/>
    <x v="2"/>
    <x v="0"/>
    <x v="0"/>
    <x v="1"/>
    <n v="61.981900000000003"/>
    <n v="56.970199999999998"/>
    <n v="23.8948"/>
    <n v="1524.2099000000001"/>
    <n v="1404.4858999999999"/>
    <n v="554.68420000000003"/>
  </r>
  <r>
    <x v="27"/>
    <x v="3"/>
    <x v="3"/>
    <x v="0"/>
    <x v="1"/>
    <x v="3"/>
    <n v="78.227999999999994"/>
    <n v="99.030500000000004"/>
    <n v="56.674100000000003"/>
    <n v="4816.5708000000004"/>
    <n v="5822.6243999999997"/>
    <n v="2923.4182999999998"/>
  </r>
  <r>
    <x v="28"/>
    <x v="3"/>
    <x v="3"/>
    <x v="0"/>
    <x v="0"/>
    <x v="7"/>
    <n v="11.11"/>
    <n v="8.9543999999999997"/>
    <n v="2.2328999999999999"/>
    <n v="523.16819999999996"/>
    <n v="387.32229999999998"/>
    <n v="84.428399999999996"/>
  </r>
  <r>
    <x v="29"/>
    <x v="3"/>
    <x v="3"/>
    <x v="0"/>
    <x v="0"/>
    <x v="7"/>
    <n v="79.953000000000003"/>
    <n v="73.757099999999994"/>
    <n v="40.362299999999998"/>
    <n v="3388.3481999999999"/>
    <n v="2840.8843000000002"/>
    <n v="1387.0689"/>
  </r>
  <r>
    <x v="30"/>
    <x v="3"/>
    <x v="3"/>
    <x v="0"/>
    <x v="0"/>
    <x v="7"/>
    <n v="12.195"/>
    <n v="8.5597999999999992"/>
    <n v="1.6516999999999999"/>
    <n v="553.03880000000004"/>
    <n v="369.83049999999997"/>
    <n v="64.100099999999998"/>
  </r>
  <r>
    <x v="31"/>
    <x v="3"/>
    <x v="3"/>
    <x v="0"/>
    <x v="0"/>
    <x v="7"/>
    <n v="60.510800000000003"/>
    <n v="52.405999999999999"/>
    <n v="30.122800000000002"/>
    <n v="2540.1291999999999"/>
    <n v="2011.4869000000001"/>
    <n v="1066.0352"/>
  </r>
  <r>
    <x v="32"/>
    <x v="3"/>
    <x v="3"/>
    <x v="0"/>
    <x v="0"/>
    <x v="7"/>
    <n v="47.8005"/>
    <n v="51.199100000000001"/>
    <n v="29.6906"/>
    <n v="1970.2177999999999"/>
    <n v="1924.2328"/>
    <n v="1027.8571999999999"/>
  </r>
  <r>
    <x v="33"/>
    <x v="3"/>
    <x v="3"/>
    <x v="0"/>
    <x v="1"/>
    <x v="7"/>
    <n v="0"/>
    <n v="3.2536"/>
    <n v="4.3144"/>
    <n v="0"/>
    <n v="139.34979999999999"/>
    <n v="169.84690000000001"/>
  </r>
  <r>
    <x v="34"/>
    <x v="3"/>
    <x v="3"/>
    <x v="0"/>
    <x v="1"/>
    <x v="7"/>
    <n v="5.5922000000000001"/>
    <n v="5.3672000000000004"/>
    <n v="2.5727000000000002"/>
    <n v="261.04790000000003"/>
    <n v="232.43600000000001"/>
    <n v="93.995500000000007"/>
  </r>
  <r>
    <x v="35"/>
    <x v="3"/>
    <x v="3"/>
    <x v="0"/>
    <x v="1"/>
    <x v="7"/>
    <n v="53.490699999999997"/>
    <n v="44.783700000000003"/>
    <n v="26.440899999999999"/>
    <n v="2262.5698000000002"/>
    <n v="1667.4681"/>
    <n v="920.88139999999999"/>
  </r>
  <r>
    <x v="36"/>
    <x v="3"/>
    <x v="3"/>
    <x v="0"/>
    <x v="3"/>
    <x v="7"/>
    <n v="8.2710000000000008"/>
    <n v="9.9309999999999992"/>
    <n v="1.1805000000000001"/>
    <n v="392.0086"/>
    <n v="426.19690000000003"/>
    <n v="46.280799999999999"/>
  </r>
  <r>
    <x v="37"/>
    <x v="3"/>
    <x v="3"/>
    <x v="0"/>
    <x v="3"/>
    <x v="7"/>
    <n v="70.562299999999993"/>
    <n v="56.785600000000002"/>
    <n v="30.796600000000002"/>
    <n v="2842.3220000000001"/>
    <n v="2121.0371"/>
    <n v="1067.8224"/>
  </r>
  <r>
    <x v="38"/>
    <x v="3"/>
    <x v="3"/>
    <x v="0"/>
    <x v="1"/>
    <x v="7"/>
    <n v="34.495899999999999"/>
    <n v="35.333399999999997"/>
    <n v="28.078199999999999"/>
    <n v="1446.3839"/>
    <n v="1359.9783"/>
    <n v="967.9162"/>
  </r>
  <r>
    <x v="39"/>
    <x v="3"/>
    <x v="3"/>
    <x v="0"/>
    <x v="2"/>
    <x v="9"/>
    <n v="49.5715"/>
    <n v="57.943199999999997"/>
    <n v="41.595799999999997"/>
    <n v="2203.8969999999999"/>
    <n v="2377.6914999999999"/>
    <n v="1614.8326999999999"/>
  </r>
  <r>
    <x v="40"/>
    <x v="4"/>
    <x v="4"/>
    <x v="0"/>
    <x v="1"/>
    <x v="3"/>
    <n v="0"/>
    <n v="0"/>
    <n v="5.7117000000000004"/>
    <n v="0"/>
    <n v="0"/>
    <n v="338.46300000000002"/>
  </r>
  <r>
    <x v="41"/>
    <x v="4"/>
    <x v="4"/>
    <x v="0"/>
    <x v="1"/>
    <x v="9"/>
    <n v="0"/>
    <n v="4.4634999999999998"/>
    <n v="0.1893"/>
    <n v="0"/>
    <n v="231.33420000000001"/>
    <n v="9.7352000000000007"/>
  </r>
  <r>
    <x v="42"/>
    <x v="5"/>
    <x v="5"/>
    <x v="0"/>
    <x v="1"/>
    <x v="3"/>
    <n v="0.70520000000000005"/>
    <n v="0"/>
    <n v="0"/>
    <n v="47.325299999999999"/>
    <n v="0"/>
    <n v="0"/>
  </r>
  <r>
    <x v="43"/>
    <x v="6"/>
    <x v="6"/>
    <x v="0"/>
    <x v="1"/>
    <x v="2"/>
    <n v="0.76280000000000003"/>
    <n v="0.23669999999999999"/>
    <n v="0.1135"/>
    <n v="43.074599999999997"/>
    <n v="13.9861"/>
    <n v="6.5488999999999997"/>
  </r>
  <r>
    <x v="44"/>
    <x v="6"/>
    <x v="6"/>
    <x v="0"/>
    <x v="3"/>
    <x v="2"/>
    <n v="14.3467"/>
    <n v="14.9893"/>
    <n v="7.9457000000000004"/>
    <n v="749.43960000000004"/>
    <n v="788.71510000000001"/>
    <n v="388.85250000000002"/>
  </r>
  <r>
    <x v="45"/>
    <x v="6"/>
    <x v="6"/>
    <x v="0"/>
    <x v="0"/>
    <x v="2"/>
    <n v="9.9741999999999997"/>
    <n v="17.767600000000002"/>
    <n v="9.7081"/>
    <n v="530.94489999999996"/>
    <n v="921.25450000000001"/>
    <n v="442.90179999999998"/>
  </r>
  <r>
    <x v="46"/>
    <x v="6"/>
    <x v="6"/>
    <x v="0"/>
    <x v="0"/>
    <x v="2"/>
    <n v="15.1808"/>
    <n v="9.7044999999999995"/>
    <n v="2.6509999999999998"/>
    <n v="814.55730000000005"/>
    <n v="531.53909999999996"/>
    <n v="144.98150000000001"/>
  </r>
  <r>
    <x v="47"/>
    <x v="6"/>
    <x v="6"/>
    <x v="0"/>
    <x v="1"/>
    <x v="2"/>
    <n v="18.2471"/>
    <n v="19.903099999999998"/>
    <n v="8.7614000000000001"/>
    <n v="989.38980000000004"/>
    <n v="1044.1582000000001"/>
    <n v="387.44209999999998"/>
  </r>
  <r>
    <x v="48"/>
    <x v="6"/>
    <x v="6"/>
    <x v="0"/>
    <x v="1"/>
    <x v="2"/>
    <n v="13.7898"/>
    <n v="10.6778"/>
    <n v="5.2233000000000001"/>
    <n v="726.86360000000002"/>
    <n v="563.28449999999998"/>
    <n v="268.45999999999998"/>
  </r>
  <r>
    <x v="49"/>
    <x v="6"/>
    <x v="6"/>
    <x v="0"/>
    <x v="1"/>
    <x v="3"/>
    <n v="29.590800000000002"/>
    <n v="20.845300000000002"/>
    <n v="11.449400000000001"/>
    <n v="1741.4848"/>
    <n v="1127.5655999999999"/>
    <n v="585.96109999999999"/>
  </r>
  <r>
    <x v="50"/>
    <x v="6"/>
    <x v="6"/>
    <x v="0"/>
    <x v="3"/>
    <x v="8"/>
    <n v="0.72840000000000005"/>
    <n v="0"/>
    <n v="0"/>
    <n v="51.0182"/>
    <n v="0"/>
    <n v="0"/>
  </r>
  <r>
    <x v="51"/>
    <x v="6"/>
    <x v="6"/>
    <x v="0"/>
    <x v="2"/>
    <x v="9"/>
    <n v="2.0455000000000001"/>
    <n v="0.30070000000000002"/>
    <n v="9.6000000000000002E-2"/>
    <n v="81.869600000000005"/>
    <n v="11.870100000000001"/>
    <n v="3.7711999999999999"/>
  </r>
  <r>
    <x v="52"/>
    <x v="7"/>
    <x v="7"/>
    <x v="0"/>
    <x v="0"/>
    <x v="3"/>
    <n v="1.0717000000000001"/>
    <n v="1.6845000000000001"/>
    <n v="0.2092"/>
    <n v="53.428199999999997"/>
    <n v="83.401399999999995"/>
    <n v="9.5612999999999992"/>
  </r>
  <r>
    <x v="53"/>
    <x v="7"/>
    <x v="7"/>
    <x v="0"/>
    <x v="0"/>
    <x v="8"/>
    <n v="0.46760000000000002"/>
    <n v="0.37340000000000001"/>
    <n v="0.47289999999999999"/>
    <n v="17.929200000000002"/>
    <n v="13.441700000000001"/>
    <n v="18.149699999999999"/>
  </r>
  <r>
    <x v="54"/>
    <x v="8"/>
    <x v="8"/>
    <x v="0"/>
    <x v="0"/>
    <x v="0"/>
    <n v="4.4499999999999998E-2"/>
    <n v="6.2E-2"/>
    <n v="0"/>
    <n v="0.36759999999999998"/>
    <n v="0.48380000000000001"/>
    <n v="0"/>
  </r>
  <r>
    <x v="55"/>
    <x v="9"/>
    <x v="9"/>
    <x v="0"/>
    <x v="0"/>
    <x v="8"/>
    <n v="3.3401000000000001"/>
    <n v="5.1974"/>
    <n v="3.7094999999999998"/>
    <n v="168.65979999999999"/>
    <n v="278.62639999999999"/>
    <n v="222.0746"/>
  </r>
  <r>
    <x v="56"/>
    <x v="9"/>
    <x v="10"/>
    <x v="0"/>
    <x v="2"/>
    <x v="3"/>
    <n v="1.2582"/>
    <n v="4.4390999999999998"/>
    <n v="0.70909999999999995"/>
    <n v="67.526600000000002"/>
    <n v="226.15649999999999"/>
    <n v="33.759099999999997"/>
  </r>
  <r>
    <x v="57"/>
    <x v="9"/>
    <x v="10"/>
    <x v="0"/>
    <x v="2"/>
    <x v="3"/>
    <n v="4.5986000000000002"/>
    <n v="6.1303000000000001"/>
    <n v="2.8555999999999999"/>
    <n v="228.69929999999999"/>
    <n v="310.51369999999997"/>
    <n v="123.6022"/>
  </r>
  <r>
    <x v="58"/>
    <x v="9"/>
    <x v="10"/>
    <x v="0"/>
    <x v="2"/>
    <x v="8"/>
    <n v="0.94640000000000002"/>
    <n v="1.6005"/>
    <n v="1.0179"/>
    <n v="54.868499999999997"/>
    <n v="87.027500000000003"/>
    <n v="38.080399999999997"/>
  </r>
  <r>
    <x v="59"/>
    <x v="9"/>
    <x v="10"/>
    <x v="0"/>
    <x v="1"/>
    <x v="8"/>
    <n v="1.8199000000000001"/>
    <n v="0.76910000000000001"/>
    <n v="0.73480000000000001"/>
    <n v="83.522300000000001"/>
    <n v="35.127499999999998"/>
    <n v="37.258200000000002"/>
  </r>
  <r>
    <x v="60"/>
    <x v="10"/>
    <x v="11"/>
    <x v="0"/>
    <x v="2"/>
    <x v="3"/>
    <n v="0"/>
    <n v="10.5616"/>
    <n v="42.6479"/>
    <n v="0"/>
    <n v="483.39569999999998"/>
    <n v="1689.356"/>
  </r>
  <r>
    <x v="61"/>
    <x v="10"/>
    <x v="11"/>
    <x v="0"/>
    <x v="2"/>
    <x v="10"/>
    <n v="0"/>
    <n v="2.0855999999999999"/>
    <n v="2.5316000000000001"/>
    <n v="0"/>
    <n v="61.262700000000002"/>
    <n v="71.165300000000002"/>
  </r>
  <r>
    <x v="62"/>
    <x v="10"/>
    <x v="11"/>
    <x v="0"/>
    <x v="2"/>
    <x v="8"/>
    <n v="0"/>
    <n v="0.54479999999999995"/>
    <n v="7.6315999999999997"/>
    <n v="0"/>
    <n v="20.880700000000001"/>
    <n v="330.70479999999998"/>
  </r>
  <r>
    <x v="63"/>
    <x v="11"/>
    <x v="12"/>
    <x v="0"/>
    <x v="3"/>
    <x v="11"/>
    <n v="0"/>
    <n v="1.5012000000000001"/>
    <n v="0.18310000000000001"/>
    <n v="0"/>
    <n v="36.194499999999998"/>
    <n v="4.9927999999999999"/>
  </r>
  <r>
    <x v="64"/>
    <x v="11"/>
    <x v="12"/>
    <x v="0"/>
    <x v="2"/>
    <x v="8"/>
    <n v="3.1665000000000001"/>
    <n v="0.6875"/>
    <n v="0.27989999999999998"/>
    <n v="65.203199999999995"/>
    <n v="14.1759"/>
    <n v="5.1737000000000002"/>
  </r>
  <r>
    <x v="65"/>
    <x v="12"/>
    <x v="13"/>
    <x v="0"/>
    <x v="1"/>
    <x v="8"/>
    <n v="0"/>
    <n v="0"/>
    <n v="5.57E-2"/>
    <n v="0"/>
    <n v="0"/>
    <n v="1.7425999999999999"/>
  </r>
  <r>
    <x v="66"/>
    <x v="13"/>
    <x v="14"/>
    <x v="0"/>
    <x v="1"/>
    <x v="12"/>
    <n v="209.29769999999999"/>
    <n v="236.50559999999999"/>
    <n v="198.2927"/>
    <n v="7336.5478999999996"/>
    <n v="8103.1085000000003"/>
    <n v="7048.5825999999997"/>
  </r>
  <r>
    <x v="67"/>
    <x v="13"/>
    <x v="14"/>
    <x v="0"/>
    <x v="1"/>
    <x v="12"/>
    <n v="2.7799999999999998E-2"/>
    <n v="4.5999999999999999E-3"/>
    <n v="0"/>
    <n v="1.2"/>
    <n v="0.2"/>
    <n v="0"/>
  </r>
  <r>
    <x v="68"/>
    <x v="13"/>
    <x v="14"/>
    <x v="0"/>
    <x v="1"/>
    <x v="0"/>
    <n v="27.777100000000001"/>
    <n v="19.717700000000001"/>
    <n v="14.4848"/>
    <n v="429.91730000000001"/>
    <n v="309.96710000000002"/>
    <n v="229.3313"/>
  </r>
  <r>
    <x v="69"/>
    <x v="13"/>
    <x v="14"/>
    <x v="0"/>
    <x v="3"/>
    <x v="0"/>
    <n v="40.515599999999999"/>
    <n v="34.999099999999999"/>
    <n v="5.7746000000000004"/>
    <n v="630.63189999999997"/>
    <n v="558.36739999999998"/>
    <n v="90.998999999999995"/>
  </r>
  <r>
    <x v="70"/>
    <x v="13"/>
    <x v="14"/>
    <x v="0"/>
    <x v="1"/>
    <x v="13"/>
    <n v="61.397500000000001"/>
    <n v="45.295999999999999"/>
    <n v="19.337599999999998"/>
    <n v="1027.2618"/>
    <n v="758.06629999999996"/>
    <n v="328.18349999999998"/>
  </r>
  <r>
    <x v="71"/>
    <x v="13"/>
    <x v="14"/>
    <x v="0"/>
    <x v="1"/>
    <x v="13"/>
    <n v="1.03E-2"/>
    <n v="1.6999999999999999E-3"/>
    <n v="0"/>
    <n v="0.21429999999999999"/>
    <n v="3.5700000000000003E-2"/>
    <n v="0"/>
  </r>
  <r>
    <x v="72"/>
    <x v="13"/>
    <x v="14"/>
    <x v="0"/>
    <x v="4"/>
    <x v="14"/>
    <n v="0"/>
    <n v="0"/>
    <n v="8.3928999999999991"/>
    <n v="0"/>
    <n v="0"/>
    <n v="185.37119999999999"/>
  </r>
  <r>
    <x v="73"/>
    <x v="13"/>
    <x v="14"/>
    <x v="0"/>
    <x v="4"/>
    <x v="7"/>
    <n v="11.2281"/>
    <n v="7.5716999999999999"/>
    <n v="1.9255"/>
    <n v="325.11810000000003"/>
    <n v="236.1233"/>
    <n v="61.869799999999998"/>
  </r>
  <r>
    <x v="74"/>
    <x v="13"/>
    <x v="14"/>
    <x v="0"/>
    <x v="4"/>
    <x v="8"/>
    <n v="56.268599999999999"/>
    <n v="22.377800000000001"/>
    <n v="12.435499999999999"/>
    <n v="1799.2518"/>
    <n v="721.99059999999997"/>
    <n v="385.45190000000002"/>
  </r>
  <r>
    <x v="75"/>
    <x v="13"/>
    <x v="14"/>
    <x v="0"/>
    <x v="0"/>
    <x v="8"/>
    <n v="0.64159999999999995"/>
    <n v="0.34470000000000001"/>
    <n v="0"/>
    <n v="14.463900000000001"/>
    <n v="7.3648999999999996"/>
    <n v="0"/>
  </r>
  <r>
    <x v="76"/>
    <x v="13"/>
    <x v="14"/>
    <x v="0"/>
    <x v="3"/>
    <x v="8"/>
    <n v="64.480099999999993"/>
    <n v="81.182500000000005"/>
    <n v="15.496600000000001"/>
    <n v="2159.5493999999999"/>
    <n v="2486.1275000000001"/>
    <n v="493.73469999999998"/>
  </r>
  <r>
    <x v="77"/>
    <x v="14"/>
    <x v="15"/>
    <x v="0"/>
    <x v="1"/>
    <x v="2"/>
    <n v="0"/>
    <n v="0"/>
    <n v="0.24490000000000001"/>
    <n v="0"/>
    <n v="0"/>
    <n v="9.7979000000000003"/>
  </r>
  <r>
    <x v="78"/>
    <x v="14"/>
    <x v="15"/>
    <x v="0"/>
    <x v="1"/>
    <x v="2"/>
    <n v="0.22359999999999999"/>
    <n v="1.0136000000000001"/>
    <n v="0.81230000000000002"/>
    <n v="12.2155"/>
    <n v="49.151600000000002"/>
    <n v="34.919499999999999"/>
  </r>
  <r>
    <x v="79"/>
    <x v="15"/>
    <x v="16"/>
    <x v="0"/>
    <x v="0"/>
    <x v="0"/>
    <n v="15.0191"/>
    <n v="17.616800000000001"/>
    <n v="13.700200000000001"/>
    <n v="121.4559"/>
    <n v="162.24"/>
    <n v="126.0534"/>
  </r>
  <r>
    <x v="80"/>
    <x v="15"/>
    <x v="16"/>
    <x v="0"/>
    <x v="0"/>
    <x v="11"/>
    <n v="19.776399999999999"/>
    <n v="13.798299999999999"/>
    <n v="7.5656999999999996"/>
    <n v="281.97280000000001"/>
    <n v="222.7071"/>
    <n v="118.9547"/>
  </r>
  <r>
    <x v="81"/>
    <x v="15"/>
    <x v="16"/>
    <x v="0"/>
    <x v="0"/>
    <x v="15"/>
    <n v="41.314100000000003"/>
    <n v="32.422600000000003"/>
    <n v="18.6829"/>
    <n v="549.64080000000001"/>
    <n v="416.84789999999998"/>
    <n v="241.38910000000001"/>
  </r>
  <r>
    <x v="82"/>
    <x v="15"/>
    <x v="16"/>
    <x v="0"/>
    <x v="2"/>
    <x v="15"/>
    <n v="10.5054"/>
    <n v="0.496"/>
    <n v="0"/>
    <n v="168.06010000000001"/>
    <n v="9.3780000000000001"/>
    <n v="0"/>
  </r>
  <r>
    <x v="83"/>
    <x v="15"/>
    <x v="16"/>
    <x v="0"/>
    <x v="0"/>
    <x v="15"/>
    <n v="26.694099999999999"/>
    <n v="16.9801"/>
    <n v="8.3484999999999996"/>
    <n v="362.30340000000001"/>
    <n v="234.6001"/>
    <n v="111.9991"/>
  </r>
  <r>
    <x v="84"/>
    <x v="16"/>
    <x v="17"/>
    <x v="0"/>
    <x v="1"/>
    <x v="11"/>
    <n v="0.52039999999999997"/>
    <n v="1.6072"/>
    <n v="0.16420000000000001"/>
    <n v="10.5198"/>
    <n v="34.4998"/>
    <n v="3.1461000000000001"/>
  </r>
  <r>
    <x v="85"/>
    <x v="17"/>
    <x v="18"/>
    <x v="0"/>
    <x v="1"/>
    <x v="8"/>
    <n v="0"/>
    <n v="3.7900000000000003E-2"/>
    <n v="6.93E-2"/>
    <n v="0"/>
    <n v="2.3294000000000001"/>
    <n v="4.2670000000000003"/>
  </r>
  <r>
    <x v="86"/>
    <x v="18"/>
    <x v="19"/>
    <x v="0"/>
    <x v="1"/>
    <x v="13"/>
    <n v="0"/>
    <n v="8.6E-3"/>
    <n v="13.3878"/>
    <n v="0"/>
    <n v="0.19639999999999999"/>
    <n v="341.02409999999998"/>
  </r>
  <r>
    <x v="87"/>
    <x v="18"/>
    <x v="19"/>
    <x v="0"/>
    <x v="1"/>
    <x v="13"/>
    <n v="0"/>
    <n v="4.8898999999999999"/>
    <n v="10.664400000000001"/>
    <n v="0"/>
    <n v="145.9169"/>
    <n v="284.60649999999998"/>
  </r>
  <r>
    <x v="88"/>
    <x v="18"/>
    <x v="19"/>
    <x v="0"/>
    <x v="1"/>
    <x v="13"/>
    <n v="0"/>
    <n v="5.8544999999999998"/>
    <n v="9.0564"/>
    <n v="0"/>
    <n v="166.38579999999999"/>
    <n v="238.54349999999999"/>
  </r>
  <r>
    <x v="89"/>
    <x v="18"/>
    <x v="19"/>
    <x v="0"/>
    <x v="1"/>
    <x v="16"/>
    <n v="0"/>
    <n v="0"/>
    <n v="0.9879"/>
    <n v="0"/>
    <n v="0"/>
    <n v="34.929000000000002"/>
  </r>
  <r>
    <x v="90"/>
    <x v="18"/>
    <x v="19"/>
    <x v="0"/>
    <x v="1"/>
    <x v="1"/>
    <n v="15.267200000000001"/>
    <n v="16.318300000000001"/>
    <n v="16.784099999999999"/>
    <n v="431.15870000000001"/>
    <n v="473.67329999999998"/>
    <n v="505.80540000000002"/>
  </r>
  <r>
    <x v="91"/>
    <x v="18"/>
    <x v="19"/>
    <x v="0"/>
    <x v="1"/>
    <x v="1"/>
    <n v="9.5295000000000005"/>
    <n v="13.395300000000001"/>
    <n v="18.126999999999999"/>
    <n v="274.45499999999998"/>
    <n v="396.72109999999998"/>
    <n v="559.59109999999998"/>
  </r>
  <r>
    <x v="92"/>
    <x v="18"/>
    <x v="19"/>
    <x v="0"/>
    <x v="1"/>
    <x v="1"/>
    <n v="11.2293"/>
    <n v="14.7631"/>
    <n v="16.131900000000002"/>
    <n v="318.93810000000002"/>
    <n v="440.8152"/>
    <n v="474.58569999999997"/>
  </r>
  <r>
    <x v="93"/>
    <x v="19"/>
    <x v="20"/>
    <x v="0"/>
    <x v="0"/>
    <x v="11"/>
    <n v="1.03E-2"/>
    <n v="0"/>
    <n v="0"/>
    <n v="0.3876"/>
    <n v="0"/>
    <n v="0"/>
  </r>
  <r>
    <x v="94"/>
    <x v="20"/>
    <x v="21"/>
    <x v="0"/>
    <x v="0"/>
    <x v="3"/>
    <n v="0"/>
    <n v="1.8077000000000001"/>
    <n v="54.250700000000002"/>
    <n v="0"/>
    <n v="127.6024"/>
    <n v="2956.24"/>
  </r>
  <r>
    <x v="95"/>
    <x v="21"/>
    <x v="22"/>
    <x v="0"/>
    <x v="0"/>
    <x v="0"/>
    <n v="0"/>
    <n v="0.1202"/>
    <n v="0"/>
    <n v="0"/>
    <n v="2.4085999999999999"/>
    <n v="0"/>
  </r>
  <r>
    <x v="96"/>
    <x v="22"/>
    <x v="23"/>
    <x v="0"/>
    <x v="1"/>
    <x v="3"/>
    <n v="28.356999999999999"/>
    <n v="20.580200000000001"/>
    <n v="0.78890000000000005"/>
    <n v="1646.7402"/>
    <n v="1088.8000999999999"/>
    <n v="38.968699999999998"/>
  </r>
  <r>
    <x v="97"/>
    <x v="22"/>
    <x v="23"/>
    <x v="0"/>
    <x v="2"/>
    <x v="3"/>
    <n v="12.003299999999999"/>
    <n v="12.0252"/>
    <n v="1.8045"/>
    <n v="643.41989999999998"/>
    <n v="689.18370000000004"/>
    <n v="98.837400000000002"/>
  </r>
  <r>
    <x v="98"/>
    <x v="22"/>
    <x v="23"/>
    <x v="0"/>
    <x v="2"/>
    <x v="3"/>
    <n v="0.11600000000000001"/>
    <n v="0"/>
    <n v="0"/>
    <n v="6.96"/>
    <n v="0"/>
    <n v="0"/>
  </r>
  <r>
    <x v="99"/>
    <x v="22"/>
    <x v="23"/>
    <x v="0"/>
    <x v="1"/>
    <x v="11"/>
    <n v="4.6429999999999998"/>
    <n v="2.3708"/>
    <n v="3.8805999999999998"/>
    <n v="208.76240000000001"/>
    <n v="99.124899999999997"/>
    <n v="163.75460000000001"/>
  </r>
  <r>
    <x v="100"/>
    <x v="22"/>
    <x v="23"/>
    <x v="0"/>
    <x v="2"/>
    <x v="8"/>
    <n v="8.5853000000000002"/>
    <n v="4.2140000000000004"/>
    <n v="0.26250000000000001"/>
    <n v="402.53930000000003"/>
    <n v="207.43709999999999"/>
    <n v="13.0296"/>
  </r>
  <r>
    <x v="101"/>
    <x v="22"/>
    <x v="23"/>
    <x v="0"/>
    <x v="1"/>
    <x v="8"/>
    <n v="0.83140000000000003"/>
    <n v="1.5299999999999999E-2"/>
    <n v="0"/>
    <n v="39.196399999999997"/>
    <n v="0.64800000000000002"/>
    <n v="0"/>
  </r>
  <r>
    <x v="102"/>
    <x v="22"/>
    <x v="23"/>
    <x v="0"/>
    <x v="1"/>
    <x v="9"/>
    <n v="2.9493999999999998"/>
    <n v="0.27079999999999999"/>
    <n v="0"/>
    <n v="169.64840000000001"/>
    <n v="12.904400000000001"/>
    <n v="0"/>
  </r>
  <r>
    <x v="103"/>
    <x v="22"/>
    <x v="24"/>
    <x v="0"/>
    <x v="4"/>
    <x v="2"/>
    <n v="4.0140000000000002"/>
    <n v="0"/>
    <n v="0"/>
    <n v="230.286"/>
    <n v="0"/>
    <n v="0"/>
  </r>
  <r>
    <x v="104"/>
    <x v="22"/>
    <x v="24"/>
    <x v="0"/>
    <x v="0"/>
    <x v="15"/>
    <n v="4.0500000000000001E-2"/>
    <n v="0"/>
    <n v="0"/>
    <n v="2.8330000000000002"/>
    <n v="0"/>
    <n v="0"/>
  </r>
  <r>
    <x v="105"/>
    <x v="22"/>
    <x v="25"/>
    <x v="0"/>
    <x v="2"/>
    <x v="3"/>
    <n v="0.76770000000000005"/>
    <n v="0"/>
    <n v="0"/>
    <n v="46.441400000000002"/>
    <n v="0"/>
    <n v="0"/>
  </r>
  <r>
    <x v="106"/>
    <x v="22"/>
    <x v="25"/>
    <x v="0"/>
    <x v="1"/>
    <x v="9"/>
    <n v="0.86809999999999998"/>
    <n v="0"/>
    <n v="0"/>
    <n v="43.337600000000002"/>
    <n v="0"/>
    <n v="0"/>
  </r>
  <r>
    <x v="107"/>
    <x v="22"/>
    <x v="26"/>
    <x v="0"/>
    <x v="1"/>
    <x v="4"/>
    <n v="9.5548999999999999"/>
    <n v="16.797000000000001"/>
    <n v="14.8012"/>
    <n v="338.9522"/>
    <n v="643.8528"/>
    <n v="454.05590000000001"/>
  </r>
  <r>
    <x v="108"/>
    <x v="22"/>
    <x v="27"/>
    <x v="0"/>
    <x v="1"/>
    <x v="3"/>
    <n v="21.0763"/>
    <n v="7.9172000000000002"/>
    <n v="0.35720000000000002"/>
    <n v="1178.5386000000001"/>
    <n v="421.82799999999997"/>
    <n v="19.481100000000001"/>
  </r>
  <r>
    <x v="109"/>
    <x v="22"/>
    <x v="27"/>
    <x v="0"/>
    <x v="2"/>
    <x v="3"/>
    <n v="59.8855"/>
    <n v="18.673500000000001"/>
    <n v="4.4382000000000001"/>
    <n v="3588.4739"/>
    <n v="1054.2443000000001"/>
    <n v="241.28020000000001"/>
  </r>
  <r>
    <x v="110"/>
    <x v="22"/>
    <x v="28"/>
    <x v="0"/>
    <x v="1"/>
    <x v="3"/>
    <n v="37.596899999999998"/>
    <n v="28.031099999999999"/>
    <n v="1.2394000000000001"/>
    <n v="2231.0284000000001"/>
    <n v="1606.1090999999999"/>
    <n v="64.665899999999993"/>
  </r>
  <r>
    <x v="111"/>
    <x v="22"/>
    <x v="29"/>
    <x v="0"/>
    <x v="1"/>
    <x v="8"/>
    <n v="4.1798000000000002"/>
    <n v="0"/>
    <n v="0"/>
    <n v="212.80930000000001"/>
    <n v="0"/>
    <n v="0"/>
  </r>
  <r>
    <x v="112"/>
    <x v="22"/>
    <x v="29"/>
    <x v="0"/>
    <x v="1"/>
    <x v="8"/>
    <n v="16.9573"/>
    <n v="8.0383999999999993"/>
    <n v="4.7045000000000003"/>
    <n v="973.13670000000002"/>
    <n v="460.75880000000001"/>
    <n v="246.6643"/>
  </r>
  <r>
    <x v="113"/>
    <x v="23"/>
    <x v="30"/>
    <x v="0"/>
    <x v="2"/>
    <x v="3"/>
    <n v="8.9794"/>
    <n v="0"/>
    <n v="0"/>
    <n v="618.46879999999999"/>
    <n v="0"/>
    <n v="0"/>
  </r>
  <r>
    <x v="114"/>
    <x v="24"/>
    <x v="31"/>
    <x v="0"/>
    <x v="1"/>
    <x v="3"/>
    <n v="0"/>
    <n v="9.4999999999999998E-3"/>
    <n v="0"/>
    <n v="0"/>
    <n v="0.51649999999999996"/>
    <n v="0"/>
  </r>
  <r>
    <x v="115"/>
    <x v="24"/>
    <x v="32"/>
    <x v="0"/>
    <x v="3"/>
    <x v="17"/>
    <n v="0.34189999999999998"/>
    <n v="0"/>
    <n v="0"/>
    <n v="17.095199999999998"/>
    <n v="0"/>
    <n v="0"/>
  </r>
  <r>
    <x v="116"/>
    <x v="24"/>
    <x v="32"/>
    <x v="0"/>
    <x v="2"/>
    <x v="3"/>
    <n v="0"/>
    <n v="36.513300000000001"/>
    <n v="9.9184000000000001"/>
    <n v="0"/>
    <n v="2225.7903999999999"/>
    <n v="665.84569999999997"/>
  </r>
  <r>
    <x v="117"/>
    <x v="24"/>
    <x v="32"/>
    <x v="0"/>
    <x v="2"/>
    <x v="3"/>
    <n v="0"/>
    <n v="28.314"/>
    <n v="9.1574000000000009"/>
    <n v="0"/>
    <n v="1712.6693"/>
    <n v="592.38390000000004"/>
  </r>
  <r>
    <x v="118"/>
    <x v="24"/>
    <x v="32"/>
    <x v="0"/>
    <x v="2"/>
    <x v="3"/>
    <n v="0"/>
    <n v="24.999500000000001"/>
    <n v="5.0659999999999998"/>
    <n v="0"/>
    <n v="1534.4268"/>
    <n v="349.95659999999998"/>
  </r>
  <r>
    <x v="119"/>
    <x v="24"/>
    <x v="32"/>
    <x v="0"/>
    <x v="1"/>
    <x v="3"/>
    <n v="25.1"/>
    <n v="61.22"/>
    <n v="8.9021000000000008"/>
    <n v="1136.2986000000001"/>
    <n v="3402.5661"/>
    <n v="613.3809"/>
  </r>
  <r>
    <x v="120"/>
    <x v="24"/>
    <x v="32"/>
    <x v="0"/>
    <x v="2"/>
    <x v="3"/>
    <n v="0"/>
    <n v="18.822399999999998"/>
    <n v="7.1738"/>
    <n v="0"/>
    <n v="1176.8929000000001"/>
    <n v="487.85019999999997"/>
  </r>
  <r>
    <x v="121"/>
    <x v="24"/>
    <x v="32"/>
    <x v="0"/>
    <x v="1"/>
    <x v="4"/>
    <n v="1.24"/>
    <n v="2.9891000000000001"/>
    <n v="0.81240000000000001"/>
    <n v="69.486800000000002"/>
    <n v="154.24979999999999"/>
    <n v="41.637500000000003"/>
  </r>
  <r>
    <x v="122"/>
    <x v="24"/>
    <x v="32"/>
    <x v="0"/>
    <x v="1"/>
    <x v="18"/>
    <n v="1.1599999999999999"/>
    <n v="1.8923000000000001"/>
    <n v="0"/>
    <n v="44.862200000000001"/>
    <n v="87.694800000000001"/>
    <n v="0"/>
  </r>
  <r>
    <x v="123"/>
    <x v="24"/>
    <x v="32"/>
    <x v="0"/>
    <x v="0"/>
    <x v="9"/>
    <n v="0"/>
    <n v="14.477"/>
    <n v="3.1046999999999998"/>
    <n v="0"/>
    <n v="762.29949999999997"/>
    <n v="149.91970000000001"/>
  </r>
  <r>
    <x v="124"/>
    <x v="24"/>
    <x v="33"/>
    <x v="0"/>
    <x v="2"/>
    <x v="3"/>
    <n v="0.25940000000000002"/>
    <n v="47.287300000000002"/>
    <n v="13.3363"/>
    <n v="15.5664"/>
    <n v="2338.1842000000001"/>
    <n v="671.9117"/>
  </r>
  <r>
    <x v="125"/>
    <x v="24"/>
    <x v="33"/>
    <x v="0"/>
    <x v="2"/>
    <x v="4"/>
    <n v="0"/>
    <n v="5.6702000000000004"/>
    <n v="10.135199999999999"/>
    <n v="0"/>
    <n v="206.95869999999999"/>
    <n v="365.12360000000001"/>
  </r>
  <r>
    <x v="126"/>
    <x v="25"/>
    <x v="34"/>
    <x v="0"/>
    <x v="3"/>
    <x v="3"/>
    <n v="0"/>
    <n v="82.250100000000003"/>
    <n v="55.842500000000001"/>
    <n v="0"/>
    <n v="5284.8972000000003"/>
    <n v="3137.2123999999999"/>
  </r>
  <r>
    <x v="127"/>
    <x v="25"/>
    <x v="34"/>
    <x v="0"/>
    <x v="3"/>
    <x v="3"/>
    <n v="0"/>
    <n v="88.414900000000003"/>
    <n v="45.6905"/>
    <n v="0"/>
    <n v="5662.4585999999999"/>
    <n v="2576.6464000000001"/>
  </r>
  <r>
    <x v="128"/>
    <x v="26"/>
    <x v="35"/>
    <x v="0"/>
    <x v="1"/>
    <x v="8"/>
    <n v="0.24010000000000001"/>
    <n v="0"/>
    <n v="0"/>
    <n v="10.8056"/>
    <n v="0"/>
    <n v="0"/>
  </r>
  <r>
    <x v="129"/>
    <x v="27"/>
    <x v="36"/>
    <x v="0"/>
    <x v="2"/>
    <x v="0"/>
    <n v="8.8999999999999999E-3"/>
    <n v="1.9E-3"/>
    <n v="0"/>
    <n v="0.1"/>
    <n v="0.02"/>
    <n v="0"/>
  </r>
  <r>
    <x v="130"/>
    <x v="27"/>
    <x v="36"/>
    <x v="0"/>
    <x v="2"/>
    <x v="0"/>
    <n v="3.6436000000000002"/>
    <n v="0.20610000000000001"/>
    <n v="0.1404"/>
    <n v="40.526699999999998"/>
    <n v="2.1286999999999998"/>
    <n v="1.4401999999999999"/>
  </r>
  <r>
    <x v="131"/>
    <x v="27"/>
    <x v="36"/>
    <x v="0"/>
    <x v="2"/>
    <x v="7"/>
    <n v="4.9200000000000001E-2"/>
    <n v="1.14E-2"/>
    <n v="0"/>
    <n v="3.4851000000000001"/>
    <n v="0.25600000000000001"/>
    <n v="0"/>
  </r>
  <r>
    <x v="132"/>
    <x v="27"/>
    <x v="36"/>
    <x v="0"/>
    <x v="2"/>
    <x v="7"/>
    <n v="4.9882"/>
    <n v="0.97860000000000003"/>
    <n v="0"/>
    <n v="116.9594"/>
    <n v="26.678799999999999"/>
    <n v="0"/>
  </r>
  <r>
    <x v="133"/>
    <x v="28"/>
    <x v="37"/>
    <x v="0"/>
    <x v="2"/>
    <x v="10"/>
    <n v="0"/>
    <n v="0"/>
    <n v="0.16420000000000001"/>
    <n v="0"/>
    <n v="0"/>
    <n v="5.0327000000000002"/>
  </r>
  <r>
    <x v="134"/>
    <x v="28"/>
    <x v="37"/>
    <x v="0"/>
    <x v="2"/>
    <x v="6"/>
    <n v="2.3513000000000002"/>
    <n v="13.7189"/>
    <n v="5.1338999999999997"/>
    <n v="93.938999999999993"/>
    <n v="476.75330000000002"/>
    <n v="161.36660000000001"/>
  </r>
  <r>
    <x v="135"/>
    <x v="28"/>
    <x v="37"/>
    <x v="0"/>
    <x v="2"/>
    <x v="11"/>
    <n v="7.0484"/>
    <n v="24.545400000000001"/>
    <n v="7.2644000000000002"/>
    <n v="315.70249999999999"/>
    <n v="945.68759999999997"/>
    <n v="273.77960000000002"/>
  </r>
  <r>
    <x v="136"/>
    <x v="28"/>
    <x v="37"/>
    <x v="0"/>
    <x v="2"/>
    <x v="11"/>
    <n v="6.2529000000000003"/>
    <n v="0"/>
    <n v="0"/>
    <n v="300.22300000000001"/>
    <n v="0"/>
    <n v="0"/>
  </r>
  <r>
    <x v="137"/>
    <x v="29"/>
    <x v="38"/>
    <x v="0"/>
    <x v="1"/>
    <x v="8"/>
    <n v="1.6668000000000001"/>
    <n v="3.7600000000000001E-2"/>
    <n v="0"/>
    <n v="75.837299999999999"/>
    <n v="1.6555"/>
    <n v="0"/>
  </r>
  <r>
    <x v="138"/>
    <x v="29"/>
    <x v="38"/>
    <x v="0"/>
    <x v="1"/>
    <x v="8"/>
    <n v="7.5975000000000001"/>
    <n v="0.1353"/>
    <n v="3.0000000000000001E-3"/>
    <n v="283.12259999999998"/>
    <n v="3.3016999999999999"/>
    <n v="7.1999999999999995E-2"/>
  </r>
  <r>
    <x v="139"/>
    <x v="30"/>
    <x v="39"/>
    <x v="0"/>
    <x v="2"/>
    <x v="8"/>
    <n v="2.5741999999999998"/>
    <n v="0.57930000000000004"/>
    <n v="9.0300000000000005E-2"/>
    <n v="138.52269999999999"/>
    <n v="28.2058"/>
    <n v="3.9451999999999998"/>
  </r>
  <r>
    <x v="140"/>
    <x v="30"/>
    <x v="39"/>
    <x v="0"/>
    <x v="0"/>
    <x v="8"/>
    <n v="0"/>
    <n v="3.2000000000000002E-3"/>
    <n v="0"/>
    <n v="0"/>
    <n v="0.14879999999999999"/>
    <n v="0"/>
  </r>
  <r>
    <x v="141"/>
    <x v="30"/>
    <x v="40"/>
    <x v="0"/>
    <x v="1"/>
    <x v="3"/>
    <n v="29.782299999999999"/>
    <n v="8.0821000000000005"/>
    <n v="2.2058"/>
    <n v="1812.3146999999999"/>
    <n v="442.9864"/>
    <n v="129.73259999999999"/>
  </r>
  <r>
    <x v="142"/>
    <x v="30"/>
    <x v="40"/>
    <x v="0"/>
    <x v="0"/>
    <x v="7"/>
    <n v="0.4194"/>
    <n v="0.27539999999999998"/>
    <n v="7.5600000000000001E-2"/>
    <n v="22.036999999999999"/>
    <n v="13.908200000000001"/>
    <n v="3.7229000000000001"/>
  </r>
  <r>
    <x v="143"/>
    <x v="30"/>
    <x v="41"/>
    <x v="0"/>
    <x v="1"/>
    <x v="3"/>
    <n v="393.93759999999997"/>
    <n v="316.5532"/>
    <n v="120.4361"/>
    <n v="20334.628400000001"/>
    <n v="15456.115599999999"/>
    <n v="5660.8364000000001"/>
  </r>
  <r>
    <x v="144"/>
    <x v="30"/>
    <x v="41"/>
    <x v="0"/>
    <x v="1"/>
    <x v="8"/>
    <n v="11.008699999999999"/>
    <n v="0"/>
    <n v="0"/>
    <n v="653.37990000000002"/>
    <n v="0"/>
    <n v="0"/>
  </r>
  <r>
    <x v="145"/>
    <x v="30"/>
    <x v="41"/>
    <x v="0"/>
    <x v="1"/>
    <x v="8"/>
    <n v="6.3380999999999998"/>
    <n v="2.2010000000000001"/>
    <n v="4.9340999999999999"/>
    <n v="360.70839999999998"/>
    <n v="122.7465"/>
    <n v="260.16239999999999"/>
  </r>
  <r>
    <x v="146"/>
    <x v="30"/>
    <x v="41"/>
    <x v="0"/>
    <x v="1"/>
    <x v="8"/>
    <n v="17.2865"/>
    <n v="3.1953"/>
    <n v="0"/>
    <n v="1104.6166000000001"/>
    <n v="157.0744"/>
    <n v="0"/>
  </r>
  <r>
    <x v="147"/>
    <x v="30"/>
    <x v="41"/>
    <x v="0"/>
    <x v="0"/>
    <x v="8"/>
    <n v="8.3360000000000003"/>
    <n v="4.1882999999999999"/>
    <n v="0.16869999999999999"/>
    <n v="355.34039999999999"/>
    <n v="181.6489"/>
    <n v="7.0335999999999999"/>
  </r>
  <r>
    <x v="148"/>
    <x v="30"/>
    <x v="41"/>
    <x v="0"/>
    <x v="2"/>
    <x v="8"/>
    <n v="10.51"/>
    <n v="23.858699999999999"/>
    <n v="12.9741"/>
    <n v="602.08569999999997"/>
    <n v="1188.0914"/>
    <n v="658.29200000000003"/>
  </r>
  <r>
    <x v="149"/>
    <x v="30"/>
    <x v="41"/>
    <x v="0"/>
    <x v="1"/>
    <x v="8"/>
    <n v="0.1246"/>
    <n v="0"/>
    <n v="4.1500000000000002E-2"/>
    <n v="7.4763999999999999"/>
    <n v="0"/>
    <n v="3.0169000000000001"/>
  </r>
  <r>
    <x v="150"/>
    <x v="30"/>
    <x v="41"/>
    <x v="0"/>
    <x v="1"/>
    <x v="9"/>
    <n v="0"/>
    <n v="1.9545999999999999"/>
    <n v="2.1882000000000001"/>
    <n v="0"/>
    <n v="80.589100000000002"/>
    <n v="78.875"/>
  </r>
  <r>
    <x v="151"/>
    <x v="30"/>
    <x v="41"/>
    <x v="0"/>
    <x v="3"/>
    <x v="9"/>
    <n v="4.02E-2"/>
    <n v="0"/>
    <n v="5.1000000000000004E-3"/>
    <n v="1.9040999999999999"/>
    <n v="0"/>
    <n v="0.1958"/>
  </r>
  <r>
    <x v="152"/>
    <x v="30"/>
    <x v="42"/>
    <x v="0"/>
    <x v="1"/>
    <x v="2"/>
    <n v="0"/>
    <n v="6.88E-2"/>
    <n v="1.5603"/>
    <n v="0"/>
    <n v="2.9011"/>
    <n v="56.070300000000003"/>
  </r>
  <r>
    <x v="153"/>
    <x v="30"/>
    <x v="43"/>
    <x v="0"/>
    <x v="1"/>
    <x v="8"/>
    <n v="225.05289999999999"/>
    <n v="160.9256"/>
    <n v="66.089799999999997"/>
    <n v="14096.87"/>
    <n v="9843.2201000000005"/>
    <n v="3643.3836000000001"/>
  </r>
  <r>
    <x v="154"/>
    <x v="30"/>
    <x v="44"/>
    <x v="0"/>
    <x v="2"/>
    <x v="8"/>
    <n v="27.677700000000002"/>
    <n v="22.1416"/>
    <n v="9.0610999999999997"/>
    <n v="1974.3932"/>
    <n v="1482.2675999999999"/>
    <n v="601.1807"/>
  </r>
  <r>
    <x v="155"/>
    <x v="30"/>
    <x v="45"/>
    <x v="0"/>
    <x v="2"/>
    <x v="3"/>
    <n v="41.221899999999998"/>
    <n v="44.201300000000003"/>
    <n v="20.616900000000001"/>
    <n v="1922.9742000000001"/>
    <n v="2020.3897999999999"/>
    <n v="923.72320000000002"/>
  </r>
  <r>
    <x v="156"/>
    <x v="30"/>
    <x v="45"/>
    <x v="0"/>
    <x v="2"/>
    <x v="3"/>
    <n v="41.486600000000003"/>
    <n v="73.395700000000005"/>
    <n v="40.033299999999997"/>
    <n v="2454.0007999999998"/>
    <n v="4307.1679999999997"/>
    <n v="2180.9749000000002"/>
  </r>
  <r>
    <x v="157"/>
    <x v="30"/>
    <x v="45"/>
    <x v="0"/>
    <x v="2"/>
    <x v="8"/>
    <n v="0"/>
    <n v="0"/>
    <n v="0.36020000000000002"/>
    <n v="0"/>
    <n v="0"/>
    <n v="18.523700000000002"/>
  </r>
  <r>
    <x v="158"/>
    <x v="30"/>
    <x v="45"/>
    <x v="0"/>
    <x v="0"/>
    <x v="8"/>
    <n v="50.296300000000002"/>
    <n v="34.107599999999998"/>
    <n v="15.9543"/>
    <n v="3350.8564000000001"/>
    <n v="2178.5326"/>
    <n v="866.22"/>
  </r>
  <r>
    <x v="159"/>
    <x v="30"/>
    <x v="45"/>
    <x v="0"/>
    <x v="0"/>
    <x v="8"/>
    <n v="5.0095999999999998"/>
    <n v="5.5152000000000001"/>
    <n v="4.4993999999999996"/>
    <n v="141.5444"/>
    <n v="154.2473"/>
    <n v="124.59650000000001"/>
  </r>
  <r>
    <x v="160"/>
    <x v="30"/>
    <x v="46"/>
    <x v="0"/>
    <x v="2"/>
    <x v="8"/>
    <n v="4.6416000000000004"/>
    <n v="5.1684999999999999"/>
    <n v="0.78010000000000002"/>
    <n v="142.55420000000001"/>
    <n v="145.93899999999999"/>
    <n v="21.435099999999998"/>
  </r>
  <r>
    <x v="161"/>
    <x v="30"/>
    <x v="31"/>
    <x v="0"/>
    <x v="2"/>
    <x v="3"/>
    <n v="137.1788"/>
    <n v="116.5658"/>
    <n v="65.912899999999993"/>
    <n v="7929.3796000000002"/>
    <n v="6740.5910999999996"/>
    <n v="3524.3125"/>
  </r>
  <r>
    <x v="162"/>
    <x v="31"/>
    <x v="47"/>
    <x v="0"/>
    <x v="1"/>
    <x v="2"/>
    <n v="14.2293"/>
    <n v="21.789000000000001"/>
    <n v="7.9466000000000001"/>
    <n v="761.61429999999996"/>
    <n v="1129.7994000000001"/>
    <n v="412.24349999999998"/>
  </r>
  <r>
    <x v="163"/>
    <x v="32"/>
    <x v="48"/>
    <x v="0"/>
    <x v="3"/>
    <x v="8"/>
    <n v="7.4866999999999999"/>
    <n v="1.5100000000000001E-2"/>
    <n v="0"/>
    <n v="509.18150000000003"/>
    <n v="0.77590000000000003"/>
    <n v="0"/>
  </r>
  <r>
    <x v="164"/>
    <x v="33"/>
    <x v="49"/>
    <x v="0"/>
    <x v="3"/>
    <x v="15"/>
    <n v="1.3945000000000001"/>
    <n v="0"/>
    <n v="0"/>
    <n v="67.202299999999994"/>
    <n v="0"/>
    <n v="0"/>
  </r>
  <r>
    <x v="165"/>
    <x v="33"/>
    <x v="49"/>
    <x v="0"/>
    <x v="2"/>
    <x v="8"/>
    <n v="7.7927999999999997"/>
    <n v="0"/>
    <n v="0"/>
    <n v="362.96660000000003"/>
    <n v="0"/>
    <n v="0"/>
  </r>
  <r>
    <x v="166"/>
    <x v="34"/>
    <x v="50"/>
    <x v="0"/>
    <x v="0"/>
    <x v="8"/>
    <n v="63.770400000000002"/>
    <n v="23.340299999999999"/>
    <n v="11.8607"/>
    <n v="2545.3452000000002"/>
    <n v="949.45609999999999"/>
    <n v="459.19099999999997"/>
  </r>
  <r>
    <x v="167"/>
    <x v="34"/>
    <x v="50"/>
    <x v="0"/>
    <x v="2"/>
    <x v="8"/>
    <n v="12.7019"/>
    <n v="13.0259"/>
    <n v="5.5613999999999999"/>
    <n v="553.99599999999998"/>
    <n v="562.68320000000006"/>
    <n v="225.62440000000001"/>
  </r>
  <r>
    <x v="168"/>
    <x v="34"/>
    <x v="51"/>
    <x v="0"/>
    <x v="1"/>
    <x v="8"/>
    <n v="0.59"/>
    <n v="0"/>
    <n v="0"/>
    <n v="18.470099999999999"/>
    <n v="0"/>
    <n v="0"/>
  </r>
  <r>
    <x v="169"/>
    <x v="34"/>
    <x v="51"/>
    <x v="0"/>
    <x v="2"/>
    <x v="8"/>
    <n v="0.59"/>
    <n v="0"/>
    <n v="0"/>
    <n v="18.470099999999999"/>
    <n v="0"/>
    <n v="0"/>
  </r>
  <r>
    <x v="170"/>
    <x v="35"/>
    <x v="52"/>
    <x v="0"/>
    <x v="4"/>
    <x v="10"/>
    <n v="0"/>
    <n v="1.1446000000000001"/>
    <n v="0.29039999999999999"/>
    <n v="0"/>
    <n v="11.6808"/>
    <n v="3.3864000000000001"/>
  </r>
  <r>
    <x v="171"/>
    <x v="35"/>
    <x v="52"/>
    <x v="0"/>
    <x v="4"/>
    <x v="10"/>
    <n v="0"/>
    <n v="0.49220000000000003"/>
    <n v="0.1164"/>
    <n v="0"/>
    <n v="4.2202000000000002"/>
    <n v="0.85"/>
  </r>
  <r>
    <x v="172"/>
    <x v="35"/>
    <x v="52"/>
    <x v="0"/>
    <x v="1"/>
    <x v="10"/>
    <n v="0"/>
    <n v="1.4152"/>
    <n v="0.3513"/>
    <n v="0"/>
    <n v="20.5671"/>
    <n v="6.5918999999999999"/>
  </r>
  <r>
    <x v="173"/>
    <x v="35"/>
    <x v="53"/>
    <x v="0"/>
    <x v="0"/>
    <x v="3"/>
    <n v="6.1999999999999998E-3"/>
    <n v="21.155899999999999"/>
    <n v="10.029400000000001"/>
    <n v="0.32569999999999999"/>
    <n v="1092.0349000000001"/>
    <n v="489.28280000000001"/>
  </r>
  <r>
    <x v="174"/>
    <x v="35"/>
    <x v="53"/>
    <x v="0"/>
    <x v="0"/>
    <x v="8"/>
    <n v="230.74209999999999"/>
    <n v="277.85789999999997"/>
    <n v="133.2149"/>
    <n v="11792.3397"/>
    <n v="14416.314700000001"/>
    <n v="6626.5474000000004"/>
  </r>
  <r>
    <x v="175"/>
    <x v="36"/>
    <x v="54"/>
    <x v="0"/>
    <x v="1"/>
    <x v="10"/>
    <n v="0.37059999999999998"/>
    <n v="0.24890000000000001"/>
    <n v="0"/>
    <n v="9.2727000000000004"/>
    <n v="7.0415000000000001"/>
    <n v="0"/>
  </r>
  <r>
    <x v="176"/>
    <x v="36"/>
    <x v="54"/>
    <x v="0"/>
    <x v="1"/>
    <x v="11"/>
    <n v="29.4162"/>
    <n v="107.9663"/>
    <n v="52.6723"/>
    <n v="866.39819999999997"/>
    <n v="3176.0981999999999"/>
    <n v="1396.3396"/>
  </r>
  <r>
    <x v="177"/>
    <x v="36"/>
    <x v="54"/>
    <x v="0"/>
    <x v="1"/>
    <x v="11"/>
    <n v="2.2702"/>
    <n v="6.8476999999999997"/>
    <n v="4.3963000000000001"/>
    <n v="71.277600000000007"/>
    <n v="210.60059999999999"/>
    <n v="121.2728"/>
  </r>
  <r>
    <x v="178"/>
    <x v="36"/>
    <x v="54"/>
    <x v="0"/>
    <x v="1"/>
    <x v="11"/>
    <n v="296.26589999999999"/>
    <n v="290.55259999999998"/>
    <n v="128.1713"/>
    <n v="8749.3634000000002"/>
    <n v="8593.8201000000008"/>
    <n v="3618.6093999999998"/>
  </r>
  <r>
    <x v="179"/>
    <x v="36"/>
    <x v="54"/>
    <x v="0"/>
    <x v="1"/>
    <x v="11"/>
    <n v="2.9716999999999998"/>
    <n v="0.47810000000000002"/>
    <n v="0.26490000000000002"/>
    <n v="93.2804"/>
    <n v="14.5885"/>
    <n v="7.5808999999999997"/>
  </r>
  <r>
    <x v="180"/>
    <x v="36"/>
    <x v="54"/>
    <x v="0"/>
    <x v="1"/>
    <x v="15"/>
    <n v="0.21840000000000001"/>
    <n v="0"/>
    <n v="0"/>
    <n v="7.3784000000000001"/>
    <n v="0"/>
    <n v="0"/>
  </r>
  <r>
    <x v="181"/>
    <x v="36"/>
    <x v="54"/>
    <x v="0"/>
    <x v="0"/>
    <x v="15"/>
    <n v="0.50360000000000005"/>
    <n v="0"/>
    <n v="0"/>
    <n v="14.988200000000001"/>
    <n v="0"/>
    <n v="0"/>
  </r>
  <r>
    <x v="182"/>
    <x v="37"/>
    <x v="55"/>
    <x v="0"/>
    <x v="5"/>
    <x v="0"/>
    <n v="0.17610000000000001"/>
    <n v="1.0699999999999999E-2"/>
    <n v="0"/>
    <n v="3.1602000000000001"/>
    <n v="0.19450000000000001"/>
    <n v="0"/>
  </r>
  <r>
    <x v="183"/>
    <x v="37"/>
    <x v="55"/>
    <x v="0"/>
    <x v="5"/>
    <x v="0"/>
    <n v="0.50239999999999996"/>
    <n v="6.6451000000000002"/>
    <n v="0"/>
    <n v="10.56"/>
    <n v="115.3312"/>
    <n v="0"/>
  </r>
  <r>
    <x v="184"/>
    <x v="37"/>
    <x v="55"/>
    <x v="0"/>
    <x v="5"/>
    <x v="6"/>
    <n v="0.31990000000000002"/>
    <n v="0"/>
    <n v="0"/>
    <n v="7.3638000000000003"/>
    <n v="0"/>
    <n v="0"/>
  </r>
  <r>
    <x v="185"/>
    <x v="37"/>
    <x v="55"/>
    <x v="0"/>
    <x v="5"/>
    <x v="6"/>
    <n v="3.0116000000000001"/>
    <n v="0"/>
    <n v="0"/>
    <n v="62.468000000000004"/>
    <n v="0"/>
    <n v="0"/>
  </r>
  <r>
    <x v="186"/>
    <x v="38"/>
    <x v="56"/>
    <x v="0"/>
    <x v="1"/>
    <x v="19"/>
    <n v="1.7111000000000001"/>
    <n v="0.48920000000000002"/>
    <n v="7.6600000000000001E-2"/>
    <n v="14.330299999999999"/>
    <n v="3.8454999999999999"/>
    <n v="0.62309999999999999"/>
  </r>
  <r>
    <x v="187"/>
    <x v="38"/>
    <x v="56"/>
    <x v="0"/>
    <x v="3"/>
    <x v="20"/>
    <n v="88.057900000000004"/>
    <n v="26.767399999999999"/>
    <n v="2.3372999999999999"/>
    <n v="2166.7952"/>
    <n v="614.64589999999998"/>
    <n v="48.202599999999997"/>
  </r>
  <r>
    <x v="188"/>
    <x v="38"/>
    <x v="56"/>
    <x v="0"/>
    <x v="0"/>
    <x v="6"/>
    <n v="1.0826"/>
    <n v="0.79220000000000002"/>
    <n v="0"/>
    <n v="19.760000000000002"/>
    <n v="17.024000000000001"/>
    <n v="0"/>
  </r>
  <r>
    <x v="189"/>
    <x v="38"/>
    <x v="56"/>
    <x v="0"/>
    <x v="1"/>
    <x v="6"/>
    <n v="0.44109999999999999"/>
    <n v="0.41260000000000002"/>
    <n v="4.5600000000000002E-2"/>
    <n v="8.4567999999999994"/>
    <n v="6.601"/>
    <n v="0.72929999999999995"/>
  </r>
  <r>
    <x v="190"/>
    <x v="38"/>
    <x v="56"/>
    <x v="0"/>
    <x v="3"/>
    <x v="6"/>
    <n v="2.1700000000000001E-2"/>
    <n v="0"/>
    <n v="0"/>
    <n v="0.48470000000000002"/>
    <n v="0"/>
    <n v="0"/>
  </r>
  <r>
    <x v="191"/>
    <x v="38"/>
    <x v="56"/>
    <x v="0"/>
    <x v="1"/>
    <x v="6"/>
    <n v="1.675"/>
    <n v="2.4634999999999998"/>
    <n v="0.86060000000000003"/>
    <n v="31.331099999999999"/>
    <n v="43.584000000000003"/>
    <n v="15.645899999999999"/>
  </r>
  <r>
    <x v="192"/>
    <x v="38"/>
    <x v="56"/>
    <x v="0"/>
    <x v="1"/>
    <x v="6"/>
    <n v="9.3126999999999995"/>
    <n v="6.4108999999999998"/>
    <n v="5.0708000000000002"/>
    <n v="206.11410000000001"/>
    <n v="126.16"/>
    <n v="101.6622"/>
  </r>
  <r>
    <x v="193"/>
    <x v="38"/>
    <x v="56"/>
    <x v="0"/>
    <x v="1"/>
    <x v="6"/>
    <n v="11.1845"/>
    <n v="11.7105"/>
    <n v="3.9420000000000002"/>
    <n v="216.30410000000001"/>
    <n v="238.77709999999999"/>
    <n v="77.523899999999998"/>
  </r>
  <r>
    <x v="194"/>
    <x v="39"/>
    <x v="57"/>
    <x v="0"/>
    <x v="4"/>
    <x v="8"/>
    <n v="6.6299999999999998E-2"/>
    <n v="0.12959999999999999"/>
    <n v="7.1499999999999994E-2"/>
    <n v="0.504"/>
    <n v="0.91539999999999999"/>
    <n v="0.52459999999999996"/>
  </r>
  <r>
    <x v="195"/>
    <x v="40"/>
    <x v="58"/>
    <x v="0"/>
    <x v="0"/>
    <x v="19"/>
    <n v="0.61529999999999996"/>
    <n v="0.502"/>
    <n v="4.99E-2"/>
    <n v="4.0616000000000003"/>
    <n v="3.2562000000000002"/>
    <n v="0.25269999999999998"/>
  </r>
  <r>
    <x v="196"/>
    <x v="40"/>
    <x v="58"/>
    <x v="0"/>
    <x v="0"/>
    <x v="21"/>
    <n v="18.4224"/>
    <n v="21.849599999999999"/>
    <n v="15.9329"/>
    <n v="154.90440000000001"/>
    <n v="191.65379999999999"/>
    <n v="151.1"/>
  </r>
  <r>
    <x v="197"/>
    <x v="40"/>
    <x v="58"/>
    <x v="0"/>
    <x v="0"/>
    <x v="22"/>
    <n v="1.851"/>
    <n v="2.4146999999999998"/>
    <n v="0.80920000000000003"/>
    <n v="10.083500000000001"/>
    <n v="14.928100000000001"/>
    <n v="5.5830000000000002"/>
  </r>
  <r>
    <x v="198"/>
    <x v="40"/>
    <x v="58"/>
    <x v="0"/>
    <x v="0"/>
    <x v="11"/>
    <n v="198.11109999999999"/>
    <n v="233.6309"/>
    <n v="113.3126"/>
    <n v="1569.5084999999999"/>
    <n v="2030.1902"/>
    <n v="989.67420000000004"/>
  </r>
  <r>
    <x v="199"/>
    <x v="40"/>
    <x v="58"/>
    <x v="0"/>
    <x v="0"/>
    <x v="11"/>
    <n v="1.278"/>
    <n v="13.6012"/>
    <n v="11.1342"/>
    <n v="10.3644"/>
    <n v="118.5029"/>
    <n v="94.131399999999999"/>
  </r>
  <r>
    <x v="200"/>
    <x v="41"/>
    <x v="59"/>
    <x v="0"/>
    <x v="0"/>
    <x v="6"/>
    <n v="0"/>
    <n v="0.2286"/>
    <n v="8.4099999999999994E-2"/>
    <n v="0"/>
    <n v="3.6671999999999998"/>
    <n v="1.3489"/>
  </r>
  <r>
    <x v="201"/>
    <x v="41"/>
    <x v="60"/>
    <x v="0"/>
    <x v="0"/>
    <x v="6"/>
    <n v="0"/>
    <n v="0.22009999999999999"/>
    <n v="0.1012"/>
    <n v="0"/>
    <n v="3.5211000000000001"/>
    <n v="1.6187"/>
  </r>
  <r>
    <x v="202"/>
    <x v="42"/>
    <x v="61"/>
    <x v="0"/>
    <x v="5"/>
    <x v="0"/>
    <n v="0.3851"/>
    <n v="0.10680000000000001"/>
    <n v="0"/>
    <n v="4.9682000000000004"/>
    <n v="1.3105"/>
    <n v="0"/>
  </r>
  <r>
    <x v="203"/>
    <x v="42"/>
    <x v="61"/>
    <x v="0"/>
    <x v="3"/>
    <x v="6"/>
    <n v="1.0960000000000001"/>
    <n v="0.3664"/>
    <n v="5.7799999999999997E-2"/>
    <n v="13.8332"/>
    <n v="3.4159999999999999"/>
    <n v="0.48"/>
  </r>
  <r>
    <x v="204"/>
    <x v="42"/>
    <x v="61"/>
    <x v="0"/>
    <x v="3"/>
    <x v="6"/>
    <n v="8.1957000000000004"/>
    <n v="0.14119999999999999"/>
    <n v="1.1000000000000001E-3"/>
    <n v="213.62710000000001"/>
    <n v="2.6021999999999998"/>
    <n v="1.6E-2"/>
  </r>
  <r>
    <x v="205"/>
    <x v="42"/>
    <x v="61"/>
    <x v="0"/>
    <x v="5"/>
    <x v="6"/>
    <n v="2.8999999999999998E-3"/>
    <n v="0"/>
    <n v="0"/>
    <n v="0.17960000000000001"/>
    <n v="0"/>
    <n v="0"/>
  </r>
  <r>
    <x v="206"/>
    <x v="42"/>
    <x v="61"/>
    <x v="0"/>
    <x v="0"/>
    <x v="6"/>
    <n v="0.22670000000000001"/>
    <n v="0"/>
    <n v="0"/>
    <n v="4.5189000000000004"/>
    <n v="0"/>
    <n v="0"/>
  </r>
  <r>
    <x v="207"/>
    <x v="42"/>
    <x v="61"/>
    <x v="0"/>
    <x v="5"/>
    <x v="8"/>
    <n v="24.499500000000001"/>
    <n v="1.3658999999999999"/>
    <n v="5.9999999999999995E-4"/>
    <n v="789.96360000000004"/>
    <n v="36.531500000000001"/>
    <n v="2.06E-2"/>
  </r>
  <r>
    <x v="208"/>
    <x v="42"/>
    <x v="61"/>
    <x v="0"/>
    <x v="3"/>
    <x v="8"/>
    <n v="0"/>
    <n v="2.8000000000000001E-2"/>
    <n v="0"/>
    <n v="0"/>
    <n v="0.80640000000000001"/>
    <n v="0"/>
  </r>
  <r>
    <x v="209"/>
    <x v="43"/>
    <x v="62"/>
    <x v="0"/>
    <x v="1"/>
    <x v="8"/>
    <n v="0"/>
    <n v="10.2052"/>
    <n v="14.4321"/>
    <n v="0"/>
    <n v="569.2527"/>
    <n v="716.4248"/>
  </r>
  <r>
    <x v="210"/>
    <x v="44"/>
    <x v="63"/>
    <x v="0"/>
    <x v="0"/>
    <x v="4"/>
    <n v="1.1900000000000001E-2"/>
    <n v="0"/>
    <n v="0"/>
    <n v="0.14000000000000001"/>
    <n v="0"/>
    <n v="0"/>
  </r>
  <r>
    <x v="211"/>
    <x v="45"/>
    <x v="64"/>
    <x v="0"/>
    <x v="1"/>
    <x v="5"/>
    <n v="0"/>
    <n v="0"/>
    <n v="0.69599999999999995"/>
    <n v="0"/>
    <n v="0"/>
    <n v="11.551500000000001"/>
  </r>
  <r>
    <x v="212"/>
    <x v="45"/>
    <x v="64"/>
    <x v="0"/>
    <x v="1"/>
    <x v="9"/>
    <n v="0.33289999999999997"/>
    <n v="2.7199999999999998E-2"/>
    <n v="0.74419999999999997"/>
    <n v="16.585699999999999"/>
    <n v="2.2242999999999999"/>
    <n v="24.0091"/>
  </r>
  <r>
    <x v="213"/>
    <x v="46"/>
    <x v="65"/>
    <x v="0"/>
    <x v="1"/>
    <x v="3"/>
    <n v="0"/>
    <n v="3.2099999999999997E-2"/>
    <n v="0.19070000000000001"/>
    <n v="0"/>
    <n v="1.7567999999999999"/>
    <n v="7.8956"/>
  </r>
  <r>
    <x v="214"/>
    <x v="46"/>
    <x v="65"/>
    <x v="0"/>
    <x v="2"/>
    <x v="18"/>
    <n v="0"/>
    <n v="0"/>
    <n v="2.2185000000000001"/>
    <n v="0"/>
    <n v="0"/>
    <n v="128.51750000000001"/>
  </r>
  <r>
    <x v="215"/>
    <x v="46"/>
    <x v="65"/>
    <x v="0"/>
    <x v="1"/>
    <x v="18"/>
    <n v="0"/>
    <n v="7.0191999999999997"/>
    <n v="7.8216999999999999"/>
    <n v="0"/>
    <n v="471.142"/>
    <n v="503.7824"/>
  </r>
  <r>
    <x v="216"/>
    <x v="46"/>
    <x v="65"/>
    <x v="0"/>
    <x v="1"/>
    <x v="8"/>
    <n v="8.5007999999999999"/>
    <n v="1.8512999999999999"/>
    <n v="0.35020000000000001"/>
    <n v="288.41750000000002"/>
    <n v="66.691299999999998"/>
    <n v="13.4161"/>
  </r>
  <r>
    <x v="217"/>
    <x v="46"/>
    <x v="65"/>
    <x v="0"/>
    <x v="1"/>
    <x v="8"/>
    <n v="32.951099999999997"/>
    <n v="14.947100000000001"/>
    <n v="4.2103999999999999"/>
    <n v="1259.2874999999999"/>
    <n v="556.85670000000005"/>
    <n v="163.69149999999999"/>
  </r>
  <r>
    <x v="218"/>
    <x v="47"/>
    <x v="66"/>
    <x v="0"/>
    <x v="2"/>
    <x v="6"/>
    <n v="53.822000000000003"/>
    <n v="66.983199999999997"/>
    <n v="42.143000000000001"/>
    <n v="1325.5655999999999"/>
    <n v="1594.76"/>
    <n v="1015.3249"/>
  </r>
  <r>
    <x v="219"/>
    <x v="47"/>
    <x v="66"/>
    <x v="0"/>
    <x v="2"/>
    <x v="6"/>
    <n v="81.760300000000001"/>
    <n v="83.135000000000005"/>
    <n v="53.412599999999998"/>
    <n v="1959.0420999999999"/>
    <n v="1973.6881000000001"/>
    <n v="1284.8007"/>
  </r>
  <r>
    <x v="220"/>
    <x v="47"/>
    <x v="66"/>
    <x v="0"/>
    <x v="2"/>
    <x v="6"/>
    <n v="24.3629"/>
    <n v="18.871200000000002"/>
    <n v="0.95489999999999997"/>
    <n v="571.42309999999998"/>
    <n v="430.0342"/>
    <n v="21.356300000000001"/>
  </r>
  <r>
    <x v="221"/>
    <x v="47"/>
    <x v="66"/>
    <x v="0"/>
    <x v="0"/>
    <x v="6"/>
    <n v="6.2572999999999999"/>
    <n v="18.031600000000001"/>
    <n v="4.2451999999999996"/>
    <n v="140.29249999999999"/>
    <n v="398.21929999999998"/>
    <n v="95.220100000000002"/>
  </r>
  <r>
    <x v="222"/>
    <x v="47"/>
    <x v="66"/>
    <x v="0"/>
    <x v="1"/>
    <x v="7"/>
    <n v="0"/>
    <n v="0"/>
    <n v="0.16520000000000001"/>
    <n v="0"/>
    <n v="0"/>
    <n v="4.4053000000000004"/>
  </r>
  <r>
    <x v="223"/>
    <x v="47"/>
    <x v="66"/>
    <x v="0"/>
    <x v="0"/>
    <x v="7"/>
    <n v="2.9600000000000001E-2"/>
    <n v="0"/>
    <n v="0"/>
    <n v="0.8246"/>
    <n v="0"/>
    <n v="0"/>
  </r>
  <r>
    <x v="224"/>
    <x v="47"/>
    <x v="66"/>
    <x v="0"/>
    <x v="0"/>
    <x v="8"/>
    <n v="2.3472"/>
    <n v="0.8044"/>
    <n v="0"/>
    <n v="54.641800000000003"/>
    <n v="24.183599999999998"/>
    <n v="0"/>
  </r>
  <r>
    <x v="225"/>
    <x v="48"/>
    <x v="67"/>
    <x v="0"/>
    <x v="2"/>
    <x v="18"/>
    <n v="5.9740000000000002"/>
    <n v="0"/>
    <n v="0"/>
    <n v="416.80889999999999"/>
    <n v="0"/>
    <n v="0"/>
  </r>
  <r>
    <x v="226"/>
    <x v="48"/>
    <x v="67"/>
    <x v="0"/>
    <x v="1"/>
    <x v="1"/>
    <n v="0.1293"/>
    <n v="8.2299999999999998E-2"/>
    <n v="0"/>
    <n v="5.4459999999999997"/>
    <n v="3.4649000000000001"/>
    <n v="0"/>
  </r>
  <r>
    <x v="227"/>
    <x v="49"/>
    <x v="68"/>
    <x v="0"/>
    <x v="2"/>
    <x v="8"/>
    <n v="11.181699999999999"/>
    <n v="15.1816"/>
    <n v="9.6165000000000003"/>
    <n v="586.38080000000002"/>
    <n v="752.94479999999999"/>
    <n v="438.76389999999998"/>
  </r>
  <r>
    <x v="228"/>
    <x v="50"/>
    <x v="69"/>
    <x v="0"/>
    <x v="4"/>
    <x v="13"/>
    <n v="8.2699999999999996E-2"/>
    <n v="4.5199999999999997E-2"/>
    <n v="5.4999999999999997E-3"/>
    <n v="0.35360000000000003"/>
    <n v="0.2"/>
    <n v="2.5000000000000001E-2"/>
  </r>
  <r>
    <x v="229"/>
    <x v="50"/>
    <x v="69"/>
    <x v="0"/>
    <x v="4"/>
    <x v="13"/>
    <n v="2.0510000000000002"/>
    <n v="2.5941999999999998"/>
    <n v="0.76219999999999999"/>
    <n v="8.6088000000000005"/>
    <n v="11.446400000000001"/>
    <n v="3.6349999999999998"/>
  </r>
  <r>
    <x v="230"/>
    <x v="50"/>
    <x v="69"/>
    <x v="0"/>
    <x v="4"/>
    <x v="10"/>
    <n v="10.297499999999999"/>
    <n v="4.8240999999999996"/>
    <n v="4.976"/>
    <n v="49.665700000000001"/>
    <n v="27.7622"/>
    <n v="22.308599999999998"/>
  </r>
  <r>
    <x v="231"/>
    <x v="50"/>
    <x v="69"/>
    <x v="0"/>
    <x v="4"/>
    <x v="10"/>
    <n v="0.2089"/>
    <n v="0"/>
    <n v="0"/>
    <n v="1.25"/>
    <n v="0"/>
    <n v="0"/>
  </r>
  <r>
    <x v="232"/>
    <x v="50"/>
    <x v="69"/>
    <x v="0"/>
    <x v="0"/>
    <x v="11"/>
    <n v="0"/>
    <n v="0"/>
    <n v="0.18790000000000001"/>
    <n v="0"/>
    <n v="0"/>
    <n v="1.0885"/>
  </r>
  <r>
    <x v="233"/>
    <x v="50"/>
    <x v="69"/>
    <x v="0"/>
    <x v="0"/>
    <x v="18"/>
    <n v="1.4366000000000001"/>
    <n v="2.8525"/>
    <n v="1.1071"/>
    <n v="10.09"/>
    <n v="20.329999999999998"/>
    <n v="7.64"/>
  </r>
  <r>
    <x v="234"/>
    <x v="50"/>
    <x v="69"/>
    <x v="0"/>
    <x v="4"/>
    <x v="18"/>
    <n v="6.5038999999999998"/>
    <n v="6.5046999999999997"/>
    <n v="1.2238"/>
    <n v="46.08"/>
    <n v="47.101700000000001"/>
    <n v="9.65"/>
  </r>
  <r>
    <x v="235"/>
    <x v="50"/>
    <x v="69"/>
    <x v="0"/>
    <x v="2"/>
    <x v="18"/>
    <n v="0"/>
    <n v="6.5199999999999994E-2"/>
    <n v="0"/>
    <n v="0"/>
    <n v="0.35370000000000001"/>
    <n v="0"/>
  </r>
  <r>
    <x v="236"/>
    <x v="51"/>
    <x v="70"/>
    <x v="0"/>
    <x v="2"/>
    <x v="1"/>
    <n v="7.0000000000000001E-3"/>
    <n v="0"/>
    <n v="0"/>
    <n v="0.08"/>
    <n v="0"/>
    <n v="0"/>
  </r>
  <r>
    <x v="237"/>
    <x v="52"/>
    <x v="71"/>
    <x v="0"/>
    <x v="2"/>
    <x v="2"/>
    <n v="0"/>
    <n v="0"/>
    <n v="0.80289999999999995"/>
    <n v="0"/>
    <n v="0"/>
    <n v="36.833599999999997"/>
  </r>
  <r>
    <x v="238"/>
    <x v="52"/>
    <x v="71"/>
    <x v="0"/>
    <x v="1"/>
    <x v="2"/>
    <n v="9.9892000000000003"/>
    <n v="8.1153999999999993"/>
    <n v="3.5836999999999999"/>
    <n v="492.51530000000002"/>
    <n v="366.96510000000001"/>
    <n v="145.6557"/>
  </r>
  <r>
    <x v="239"/>
    <x v="52"/>
    <x v="71"/>
    <x v="0"/>
    <x v="2"/>
    <x v="2"/>
    <n v="2.3199999999999998E-2"/>
    <n v="2.375"/>
    <n v="2.0299"/>
    <n v="1.054"/>
    <n v="113.97580000000001"/>
    <n v="89.836200000000005"/>
  </r>
  <r>
    <x v="240"/>
    <x v="52"/>
    <x v="71"/>
    <x v="0"/>
    <x v="1"/>
    <x v="2"/>
    <n v="12.8912"/>
    <n v="14.945399999999999"/>
    <n v="2.4279000000000002"/>
    <n v="607.44449999999995"/>
    <n v="678.69550000000004"/>
    <n v="103.8368"/>
  </r>
  <r>
    <x v="241"/>
    <x v="52"/>
    <x v="71"/>
    <x v="0"/>
    <x v="0"/>
    <x v="2"/>
    <n v="0"/>
    <n v="0.01"/>
    <n v="1.5183"/>
    <n v="0"/>
    <n v="0.48130000000000001"/>
    <n v="68.4452"/>
  </r>
  <r>
    <x v="242"/>
    <x v="52"/>
    <x v="71"/>
    <x v="0"/>
    <x v="2"/>
    <x v="2"/>
    <n v="32.355400000000003"/>
    <n v="38.555399999999999"/>
    <n v="28.667999999999999"/>
    <n v="1339.7692"/>
    <n v="1517.8848"/>
    <n v="1147.3356000000001"/>
  </r>
  <r>
    <x v="243"/>
    <x v="52"/>
    <x v="71"/>
    <x v="0"/>
    <x v="1"/>
    <x v="3"/>
    <n v="39.0503"/>
    <n v="53.6008"/>
    <n v="45.671900000000001"/>
    <n v="2028.7261000000001"/>
    <n v="2727.4971999999998"/>
    <n v="2409.5587999999998"/>
  </r>
  <r>
    <x v="244"/>
    <x v="52"/>
    <x v="71"/>
    <x v="0"/>
    <x v="2"/>
    <x v="3"/>
    <n v="18.061"/>
    <n v="20.3689"/>
    <n v="25.3782"/>
    <n v="997.27200000000005"/>
    <n v="1129.9784999999999"/>
    <n v="1401.0871999999999"/>
  </r>
  <r>
    <x v="245"/>
    <x v="52"/>
    <x v="71"/>
    <x v="0"/>
    <x v="1"/>
    <x v="3"/>
    <n v="60.256900000000002"/>
    <n v="59.171300000000002"/>
    <n v="46.391500000000001"/>
    <n v="3003.9076"/>
    <n v="2862.6754999999998"/>
    <n v="2309.9086000000002"/>
  </r>
  <r>
    <x v="246"/>
    <x v="52"/>
    <x v="71"/>
    <x v="0"/>
    <x v="1"/>
    <x v="3"/>
    <n v="20.0168"/>
    <n v="19.4117"/>
    <n v="16.676400000000001"/>
    <n v="1086.6414"/>
    <n v="1089.1328000000001"/>
    <n v="913.75469999999996"/>
  </r>
  <r>
    <x v="247"/>
    <x v="52"/>
    <x v="71"/>
    <x v="0"/>
    <x v="1"/>
    <x v="3"/>
    <n v="15.4658"/>
    <n v="23.898299999999999"/>
    <n v="20.8841"/>
    <n v="835.59469999999999"/>
    <n v="1304.8905999999999"/>
    <n v="1122.8086000000001"/>
  </r>
  <r>
    <x v="248"/>
    <x v="52"/>
    <x v="71"/>
    <x v="0"/>
    <x v="0"/>
    <x v="3"/>
    <n v="17.192699999999999"/>
    <n v="14.837400000000001"/>
    <n v="10.0755"/>
    <n v="845.18690000000004"/>
    <n v="818.97209999999995"/>
    <n v="554.23329999999999"/>
  </r>
  <r>
    <x v="249"/>
    <x v="52"/>
    <x v="71"/>
    <x v="0"/>
    <x v="2"/>
    <x v="3"/>
    <n v="12.4558"/>
    <n v="19.5045"/>
    <n v="19.680399999999999"/>
    <n v="695.70420000000001"/>
    <n v="1080.8305"/>
    <n v="1068.2409"/>
  </r>
  <r>
    <x v="250"/>
    <x v="52"/>
    <x v="71"/>
    <x v="0"/>
    <x v="2"/>
    <x v="3"/>
    <n v="29.7578"/>
    <n v="42.059199999999997"/>
    <n v="37.9373"/>
    <n v="1513.1635000000001"/>
    <n v="2139.8314999999998"/>
    <n v="1997.7666999999999"/>
  </r>
  <r>
    <x v="251"/>
    <x v="52"/>
    <x v="71"/>
    <x v="0"/>
    <x v="1"/>
    <x v="0"/>
    <n v="12.4033"/>
    <n v="7.0781999999999998"/>
    <n v="1.7199"/>
    <n v="294.48759999999999"/>
    <n v="150.97989999999999"/>
    <n v="36.068199999999997"/>
  </r>
  <r>
    <x v="252"/>
    <x v="52"/>
    <x v="71"/>
    <x v="0"/>
    <x v="2"/>
    <x v="5"/>
    <n v="1.6268"/>
    <n v="0"/>
    <n v="0"/>
    <n v="65.1297"/>
    <n v="0"/>
    <n v="0"/>
  </r>
  <r>
    <x v="253"/>
    <x v="52"/>
    <x v="71"/>
    <x v="0"/>
    <x v="2"/>
    <x v="5"/>
    <n v="2.5358999999999998"/>
    <n v="0"/>
    <n v="0"/>
    <n v="101.7274"/>
    <n v="0"/>
    <n v="0"/>
  </r>
  <r>
    <x v="254"/>
    <x v="52"/>
    <x v="71"/>
    <x v="0"/>
    <x v="0"/>
    <x v="11"/>
    <n v="0"/>
    <n v="0"/>
    <n v="3.6318999999999999"/>
    <n v="0"/>
    <n v="0"/>
    <n v="71.160700000000006"/>
  </r>
  <r>
    <x v="255"/>
    <x v="52"/>
    <x v="71"/>
    <x v="0"/>
    <x v="0"/>
    <x v="8"/>
    <n v="17.9986"/>
    <n v="13.0489"/>
    <n v="10.643000000000001"/>
    <n v="650.62580000000003"/>
    <n v="424.79559999999998"/>
    <n v="323.3997"/>
  </r>
  <r>
    <x v="256"/>
    <x v="52"/>
    <x v="71"/>
    <x v="0"/>
    <x v="3"/>
    <x v="8"/>
    <n v="18.099399999999999"/>
    <n v="12.3561"/>
    <n v="12.3432"/>
    <n v="1018.4675999999999"/>
    <n v="683.55870000000004"/>
    <n v="606.59050000000002"/>
  </r>
  <r>
    <x v="257"/>
    <x v="52"/>
    <x v="71"/>
    <x v="0"/>
    <x v="0"/>
    <x v="8"/>
    <n v="13.9643"/>
    <n v="11.9328"/>
    <n v="7.4202000000000004"/>
    <n v="510.25119999999998"/>
    <n v="382.31479999999999"/>
    <n v="215.15559999999999"/>
  </r>
  <r>
    <x v="258"/>
    <x v="52"/>
    <x v="71"/>
    <x v="0"/>
    <x v="1"/>
    <x v="8"/>
    <n v="0"/>
    <n v="0.56559999999999999"/>
    <n v="0.19719999999999999"/>
    <n v="0"/>
    <n v="6.4855"/>
    <n v="8.6998999999999995"/>
  </r>
  <r>
    <x v="259"/>
    <x v="52"/>
    <x v="71"/>
    <x v="0"/>
    <x v="1"/>
    <x v="8"/>
    <n v="11.936500000000001"/>
    <n v="11.3424"/>
    <n v="2.8279999999999998"/>
    <n v="494.98500000000001"/>
    <n v="456.52679999999998"/>
    <n v="127.90179999999999"/>
  </r>
  <r>
    <x v="260"/>
    <x v="52"/>
    <x v="71"/>
    <x v="0"/>
    <x v="2"/>
    <x v="8"/>
    <n v="16.799600000000002"/>
    <n v="11.79"/>
    <n v="3.1292"/>
    <n v="633.09360000000004"/>
    <n v="491.60489999999999"/>
    <n v="123.1259"/>
  </r>
  <r>
    <x v="261"/>
    <x v="52"/>
    <x v="71"/>
    <x v="0"/>
    <x v="1"/>
    <x v="8"/>
    <n v="15.0557"/>
    <n v="9.7439"/>
    <n v="7.3936000000000002"/>
    <n v="945.80409999999995"/>
    <n v="583.28309999999999"/>
    <n v="424.78879999999998"/>
  </r>
  <r>
    <x v="262"/>
    <x v="52"/>
    <x v="71"/>
    <x v="0"/>
    <x v="1"/>
    <x v="8"/>
    <n v="2.5228000000000002"/>
    <n v="0"/>
    <n v="0"/>
    <n v="102.04300000000001"/>
    <n v="0"/>
    <n v="0"/>
  </r>
  <r>
    <x v="263"/>
    <x v="52"/>
    <x v="71"/>
    <x v="0"/>
    <x v="2"/>
    <x v="1"/>
    <n v="5.8501000000000003"/>
    <n v="3.1604999999999999"/>
    <n v="1.1102000000000001"/>
    <n v="279.7971"/>
    <n v="133.69110000000001"/>
    <n v="49.716799999999999"/>
  </r>
  <r>
    <x v="264"/>
    <x v="52"/>
    <x v="71"/>
    <x v="0"/>
    <x v="0"/>
    <x v="1"/>
    <n v="3.5649999999999999"/>
    <n v="3.9624000000000001"/>
    <n v="3.0468999999999999"/>
    <n v="186.07509999999999"/>
    <n v="188.92570000000001"/>
    <n v="146.31370000000001"/>
  </r>
  <r>
    <x v="265"/>
    <x v="52"/>
    <x v="71"/>
    <x v="0"/>
    <x v="2"/>
    <x v="1"/>
    <n v="4.5880999999999998"/>
    <n v="5.0932000000000004"/>
    <n v="5.0259"/>
    <n v="237.0685"/>
    <n v="259.80410000000001"/>
    <n v="248.8639"/>
  </r>
  <r>
    <x v="266"/>
    <x v="52"/>
    <x v="71"/>
    <x v="0"/>
    <x v="0"/>
    <x v="23"/>
    <n v="0"/>
    <n v="7.0000000000000001E-3"/>
    <n v="0"/>
    <n v="0"/>
    <n v="0.32779999999999998"/>
    <n v="0"/>
  </r>
  <r>
    <x v="267"/>
    <x v="52"/>
    <x v="72"/>
    <x v="0"/>
    <x v="1"/>
    <x v="3"/>
    <n v="3.0200000000000001E-2"/>
    <n v="2.0104000000000002"/>
    <n v="1.0045999999999999"/>
    <n v="1.4571000000000001"/>
    <n v="118.0438"/>
    <n v="56.873399999999997"/>
  </r>
  <r>
    <x v="268"/>
    <x v="52"/>
    <x v="73"/>
    <x v="0"/>
    <x v="0"/>
    <x v="8"/>
    <n v="0.1913"/>
    <n v="0.55200000000000005"/>
    <n v="4.3700000000000003E-2"/>
    <n v="6.9211999999999998"/>
    <n v="19.9695"/>
    <n v="1.2094"/>
  </r>
  <r>
    <x v="269"/>
    <x v="53"/>
    <x v="74"/>
    <x v="0"/>
    <x v="1"/>
    <x v="5"/>
    <n v="2.6700000000000002E-2"/>
    <n v="6.6E-3"/>
    <n v="0"/>
    <n v="1.3361000000000001"/>
    <n v="0.32919999999999999"/>
    <n v="0"/>
  </r>
  <r>
    <x v="270"/>
    <x v="53"/>
    <x v="74"/>
    <x v="0"/>
    <x v="3"/>
    <x v="9"/>
    <n v="6.93E-2"/>
    <n v="0.19889999999999999"/>
    <n v="0"/>
    <n v="3.0247000000000002"/>
    <n v="8.6912000000000003"/>
    <n v="0"/>
  </r>
  <r>
    <x v="271"/>
    <x v="53"/>
    <x v="74"/>
    <x v="0"/>
    <x v="3"/>
    <x v="9"/>
    <n v="7.6300000000000007E-2"/>
    <n v="0.42759999999999998"/>
    <n v="0.15670000000000001"/>
    <n v="3.4260000000000002"/>
    <n v="18.685099999999998"/>
    <n v="6.8449999999999998"/>
  </r>
  <r>
    <x v="272"/>
    <x v="54"/>
    <x v="75"/>
    <x v="0"/>
    <x v="0"/>
    <x v="7"/>
    <n v="13.539"/>
    <n v="14.939299999999999"/>
    <n v="5.9192"/>
    <n v="399.25150000000002"/>
    <n v="471.38619999999997"/>
    <n v="172.6644"/>
  </r>
  <r>
    <x v="273"/>
    <x v="54"/>
    <x v="75"/>
    <x v="0"/>
    <x v="0"/>
    <x v="7"/>
    <n v="9.7232000000000003"/>
    <n v="14.417199999999999"/>
    <n v="5.9874999999999998"/>
    <n v="300.88780000000003"/>
    <n v="488.67129999999997"/>
    <n v="199.4579"/>
  </r>
  <r>
    <x v="274"/>
    <x v="54"/>
    <x v="75"/>
    <x v="0"/>
    <x v="1"/>
    <x v="8"/>
    <n v="0.4834"/>
    <n v="0"/>
    <n v="0"/>
    <n v="12.901899999999999"/>
    <n v="0"/>
    <n v="0"/>
  </r>
  <r>
    <x v="275"/>
    <x v="55"/>
    <x v="76"/>
    <x v="0"/>
    <x v="3"/>
    <x v="11"/>
    <n v="0.13550000000000001"/>
    <n v="0"/>
    <n v="0"/>
    <n v="3.2519"/>
    <n v="0"/>
    <n v="0"/>
  </r>
  <r>
    <x v="276"/>
    <x v="56"/>
    <x v="77"/>
    <x v="0"/>
    <x v="5"/>
    <x v="24"/>
    <n v="0"/>
    <n v="2.3E-3"/>
    <n v="0"/>
    <n v="0"/>
    <n v="4.8000000000000001E-2"/>
    <n v="0"/>
  </r>
  <r>
    <x v="277"/>
    <x v="56"/>
    <x v="77"/>
    <x v="0"/>
    <x v="5"/>
    <x v="24"/>
    <n v="3.7978999999999998"/>
    <n v="0.23119999999999999"/>
    <n v="5.57E-2"/>
    <n v="45.909399999999998"/>
    <n v="3.0430999999999999"/>
    <n v="0.74270000000000003"/>
  </r>
  <r>
    <x v="278"/>
    <x v="56"/>
    <x v="77"/>
    <x v="0"/>
    <x v="5"/>
    <x v="24"/>
    <n v="10.1713"/>
    <n v="1.4034"/>
    <n v="0.79169999999999996"/>
    <n v="191.46350000000001"/>
    <n v="25.065200000000001"/>
    <n v="12.493499999999999"/>
  </r>
  <r>
    <x v="279"/>
    <x v="56"/>
    <x v="77"/>
    <x v="0"/>
    <x v="5"/>
    <x v="0"/>
    <n v="8.9099999999999999E-2"/>
    <n v="0"/>
    <n v="0"/>
    <n v="1.4943"/>
    <n v="0"/>
    <n v="0"/>
  </r>
  <r>
    <x v="280"/>
    <x v="56"/>
    <x v="77"/>
    <x v="0"/>
    <x v="0"/>
    <x v="15"/>
    <n v="16.7622"/>
    <n v="54.880099999999999"/>
    <n v="30.8141"/>
    <n v="558.82709999999997"/>
    <n v="1712.2448999999999"/>
    <n v="842.72770000000003"/>
  </r>
  <r>
    <x v="281"/>
    <x v="56"/>
    <x v="77"/>
    <x v="0"/>
    <x v="0"/>
    <x v="15"/>
    <n v="61.024299999999997"/>
    <n v="69.369399999999999"/>
    <n v="37.2607"/>
    <n v="1986.0632000000001"/>
    <n v="2074.7809000000002"/>
    <n v="1026.0545999999999"/>
  </r>
  <r>
    <x v="282"/>
    <x v="56"/>
    <x v="77"/>
    <x v="0"/>
    <x v="3"/>
    <x v="15"/>
    <n v="99.720299999999995"/>
    <n v="82.962900000000005"/>
    <n v="1.6460999999999999"/>
    <n v="3124.0421999999999"/>
    <n v="2460.6639"/>
    <n v="45.897799999999997"/>
  </r>
  <r>
    <x v="283"/>
    <x v="56"/>
    <x v="77"/>
    <x v="0"/>
    <x v="0"/>
    <x v="8"/>
    <n v="86.361699999999999"/>
    <n v="101.56570000000001"/>
    <n v="54.776899999999998"/>
    <n v="3022.1621"/>
    <n v="3499.3182999999999"/>
    <n v="1704.9738"/>
  </r>
  <r>
    <x v="284"/>
    <x v="56"/>
    <x v="78"/>
    <x v="0"/>
    <x v="3"/>
    <x v="25"/>
    <n v="23.7104"/>
    <n v="2.5188000000000001"/>
    <n v="0.15770000000000001"/>
    <n v="549.04570000000001"/>
    <n v="49.080599999999997"/>
    <n v="2.9064000000000001"/>
  </r>
  <r>
    <x v="285"/>
    <x v="56"/>
    <x v="78"/>
    <x v="0"/>
    <x v="3"/>
    <x v="25"/>
    <n v="34.488300000000002"/>
    <n v="5.6889000000000003"/>
    <n v="0.2626"/>
    <n v="739.96220000000005"/>
    <n v="104.66840000000001"/>
    <n v="4.7222"/>
  </r>
  <r>
    <x v="286"/>
    <x v="56"/>
    <x v="78"/>
    <x v="0"/>
    <x v="3"/>
    <x v="25"/>
    <n v="0.31869999999999998"/>
    <n v="0"/>
    <n v="0"/>
    <n v="6.5327000000000002"/>
    <n v="0"/>
    <n v="0"/>
  </r>
  <r>
    <x v="287"/>
    <x v="56"/>
    <x v="78"/>
    <x v="0"/>
    <x v="3"/>
    <x v="25"/>
    <n v="7.1499999999999994E-2"/>
    <n v="0"/>
    <n v="0"/>
    <n v="1.2682"/>
    <n v="0"/>
    <n v="0"/>
  </r>
  <r>
    <x v="288"/>
    <x v="57"/>
    <x v="79"/>
    <x v="0"/>
    <x v="4"/>
    <x v="8"/>
    <n v="0"/>
    <n v="6.2138"/>
    <n v="8.77E-2"/>
    <n v="0"/>
    <n v="384.83499999999998"/>
    <n v="5.7408999999999999"/>
  </r>
  <r>
    <x v="289"/>
    <x v="58"/>
    <x v="80"/>
    <x v="0"/>
    <x v="3"/>
    <x v="2"/>
    <n v="2.8529"/>
    <n v="0"/>
    <n v="0"/>
    <n v="195.97380000000001"/>
    <n v="0"/>
    <n v="0"/>
  </r>
  <r>
    <x v="290"/>
    <x v="58"/>
    <x v="80"/>
    <x v="0"/>
    <x v="3"/>
    <x v="2"/>
    <n v="13.515499999999999"/>
    <n v="1.9742999999999999"/>
    <n v="2.98E-2"/>
    <n v="813.32730000000004"/>
    <n v="103.7679"/>
    <n v="1.4246000000000001"/>
  </r>
  <r>
    <x v="291"/>
    <x v="58"/>
    <x v="80"/>
    <x v="0"/>
    <x v="3"/>
    <x v="3"/>
    <n v="0"/>
    <n v="47.540100000000002"/>
    <n v="13.0617"/>
    <n v="0"/>
    <n v="2356.4949999999999"/>
    <n v="720.12469999999996"/>
  </r>
  <r>
    <x v="292"/>
    <x v="58"/>
    <x v="80"/>
    <x v="0"/>
    <x v="3"/>
    <x v="18"/>
    <n v="4.0548000000000002"/>
    <n v="2.4268999999999998"/>
    <n v="0"/>
    <n v="220.69159999999999"/>
    <n v="134.58930000000001"/>
    <n v="0"/>
  </r>
  <r>
    <x v="293"/>
    <x v="58"/>
    <x v="81"/>
    <x v="0"/>
    <x v="1"/>
    <x v="18"/>
    <n v="42.300199999999997"/>
    <n v="20.829499999999999"/>
    <n v="4.8948"/>
    <n v="2912.5239999999999"/>
    <n v="1143.2672"/>
    <n v="245.0727"/>
  </r>
  <r>
    <x v="294"/>
    <x v="59"/>
    <x v="82"/>
    <x v="0"/>
    <x v="1"/>
    <x v="3"/>
    <n v="12.6196"/>
    <n v="0.30170000000000002"/>
    <n v="0"/>
    <n v="774.8818"/>
    <n v="18.222799999999999"/>
    <n v="0"/>
  </r>
  <r>
    <x v="295"/>
    <x v="59"/>
    <x v="83"/>
    <x v="0"/>
    <x v="2"/>
    <x v="3"/>
    <n v="0"/>
    <n v="39.128300000000003"/>
    <n v="18.019200000000001"/>
    <n v="0"/>
    <n v="2116.4569999999999"/>
    <n v="1056.0386000000001"/>
  </r>
  <r>
    <x v="296"/>
    <x v="59"/>
    <x v="83"/>
    <x v="0"/>
    <x v="2"/>
    <x v="8"/>
    <n v="14.5854"/>
    <n v="45.532299999999999"/>
    <n v="49.915700000000001"/>
    <n v="930.23509999999999"/>
    <n v="2490.5082000000002"/>
    <n v="2411.3348000000001"/>
  </r>
  <r>
    <x v="297"/>
    <x v="60"/>
    <x v="84"/>
    <x v="0"/>
    <x v="3"/>
    <x v="6"/>
    <n v="0.1139"/>
    <n v="4.0300000000000002E-2"/>
    <n v="0"/>
    <n v="0.85599999999999998"/>
    <n v="0.30399999999999999"/>
    <n v="0"/>
  </r>
  <r>
    <x v="298"/>
    <x v="60"/>
    <x v="84"/>
    <x v="0"/>
    <x v="3"/>
    <x v="6"/>
    <n v="0.19919999999999999"/>
    <n v="0"/>
    <n v="0"/>
    <n v="1.496"/>
    <n v="0"/>
    <n v="0"/>
  </r>
  <r>
    <x v="299"/>
    <x v="61"/>
    <x v="85"/>
    <x v="0"/>
    <x v="2"/>
    <x v="2"/>
    <n v="4.4461000000000004"/>
    <n v="2.0626000000000002"/>
    <n v="0"/>
    <n v="234.7319"/>
    <n v="137.5095"/>
    <n v="0"/>
  </r>
  <r>
    <x v="300"/>
    <x v="61"/>
    <x v="85"/>
    <x v="0"/>
    <x v="1"/>
    <x v="4"/>
    <n v="0.15609999999999999"/>
    <n v="2.98E-2"/>
    <n v="0.25540000000000002"/>
    <n v="9.3703000000000003"/>
    <n v="1.4905999999999999"/>
    <n v="12.7729"/>
  </r>
  <r>
    <x v="301"/>
    <x v="61"/>
    <x v="85"/>
    <x v="0"/>
    <x v="0"/>
    <x v="11"/>
    <n v="1.8445"/>
    <n v="0"/>
    <n v="0"/>
    <n v="41.871899999999997"/>
    <n v="0"/>
    <n v="0"/>
  </r>
  <r>
    <x v="302"/>
    <x v="61"/>
    <x v="85"/>
    <x v="0"/>
    <x v="1"/>
    <x v="8"/>
    <n v="0.57199999999999995"/>
    <n v="0"/>
    <n v="0"/>
    <n v="34.318100000000001"/>
    <n v="0"/>
    <n v="0"/>
  </r>
  <r>
    <x v="303"/>
    <x v="61"/>
    <x v="85"/>
    <x v="0"/>
    <x v="1"/>
    <x v="8"/>
    <n v="10.123900000000001"/>
    <n v="4.3895"/>
    <n v="0"/>
    <n v="617.78060000000005"/>
    <n v="241.07740000000001"/>
    <n v="0"/>
  </r>
  <r>
    <x v="304"/>
    <x v="61"/>
    <x v="86"/>
    <x v="0"/>
    <x v="3"/>
    <x v="3"/>
    <n v="0"/>
    <n v="56.203800000000001"/>
    <n v="22.180299999999999"/>
    <n v="0"/>
    <n v="3259.8697999999999"/>
    <n v="1260.6195"/>
  </r>
  <r>
    <x v="305"/>
    <x v="61"/>
    <x v="86"/>
    <x v="0"/>
    <x v="3"/>
    <x v="8"/>
    <n v="0"/>
    <n v="15.356400000000001"/>
    <n v="10.720599999999999"/>
    <n v="0"/>
    <n v="847.21910000000003"/>
    <n v="534.71069999999997"/>
  </r>
  <r>
    <x v="306"/>
    <x v="61"/>
    <x v="87"/>
    <x v="0"/>
    <x v="0"/>
    <x v="1"/>
    <n v="1.0731999999999999"/>
    <n v="0"/>
    <n v="0"/>
    <n v="47.075600000000001"/>
    <n v="0"/>
    <n v="0"/>
  </r>
  <r>
    <x v="307"/>
    <x v="61"/>
    <x v="88"/>
    <x v="0"/>
    <x v="3"/>
    <x v="26"/>
    <n v="2.6486999999999998"/>
    <n v="0"/>
    <n v="0"/>
    <n v="124.62050000000001"/>
    <n v="0"/>
    <n v="0"/>
  </r>
  <r>
    <x v="308"/>
    <x v="61"/>
    <x v="89"/>
    <x v="0"/>
    <x v="1"/>
    <x v="3"/>
    <n v="84.095799999999997"/>
    <n v="151.49979999999999"/>
    <n v="39.488900000000001"/>
    <n v="4863.5491000000002"/>
    <n v="8687.4974999999995"/>
    <n v="2240.9688000000001"/>
  </r>
  <r>
    <x v="309"/>
    <x v="61"/>
    <x v="89"/>
    <x v="0"/>
    <x v="1"/>
    <x v="8"/>
    <n v="24.440899999999999"/>
    <n v="13.931900000000001"/>
    <n v="5.4257"/>
    <n v="1419.3269"/>
    <n v="757.8877"/>
    <n v="289.12630000000001"/>
  </r>
  <r>
    <x v="310"/>
    <x v="61"/>
    <x v="89"/>
    <x v="0"/>
    <x v="1"/>
    <x v="8"/>
    <n v="2.0893000000000002"/>
    <n v="2.5973000000000002"/>
    <n v="0.1109"/>
    <n v="135.5565"/>
    <n v="141.02850000000001"/>
    <n v="6.4691999999999998"/>
  </r>
  <r>
    <x v="311"/>
    <x v="62"/>
    <x v="85"/>
    <x v="0"/>
    <x v="1"/>
    <x v="3"/>
    <n v="6.1833"/>
    <n v="0.61119999999999997"/>
    <n v="0"/>
    <n v="392.1592"/>
    <n v="31.181999999999999"/>
    <n v="0"/>
  </r>
  <r>
    <x v="312"/>
    <x v="62"/>
    <x v="90"/>
    <x v="0"/>
    <x v="1"/>
    <x v="3"/>
    <n v="2.5480999999999998"/>
    <n v="2.6009000000000002"/>
    <n v="0"/>
    <n v="132.16820000000001"/>
    <n v="141.76490000000001"/>
    <n v="0"/>
  </r>
  <r>
    <x v="313"/>
    <x v="63"/>
    <x v="91"/>
    <x v="0"/>
    <x v="4"/>
    <x v="0"/>
    <n v="0.15809999999999999"/>
    <n v="2E-3"/>
    <n v="1E-3"/>
    <n v="2.1"/>
    <n v="0.02"/>
    <n v="0.02"/>
  </r>
  <r>
    <x v="314"/>
    <x v="64"/>
    <x v="92"/>
    <x v="0"/>
    <x v="2"/>
    <x v="6"/>
    <n v="6.0000000000000001E-3"/>
    <n v="0.35439999999999999"/>
    <n v="0"/>
    <n v="0.33839999999999998"/>
    <n v="16.541699999999999"/>
    <n v="0"/>
  </r>
  <r>
    <x v="315"/>
    <x v="65"/>
    <x v="93"/>
    <x v="0"/>
    <x v="1"/>
    <x v="8"/>
    <n v="0"/>
    <n v="0"/>
    <n v="9.8000000000000004E-2"/>
    <n v="0"/>
    <n v="0"/>
    <n v="3.3592"/>
  </r>
  <r>
    <x v="316"/>
    <x v="66"/>
    <x v="94"/>
    <x v="0"/>
    <x v="0"/>
    <x v="8"/>
    <n v="0"/>
    <n v="0.79349999999999998"/>
    <n v="0.7298"/>
    <n v="0"/>
    <n v="47.268799999999999"/>
    <n v="43.602699999999999"/>
  </r>
  <r>
    <x v="317"/>
    <x v="67"/>
    <x v="95"/>
    <x v="0"/>
    <x v="1"/>
    <x v="9"/>
    <n v="0.36020000000000002"/>
    <n v="5.21E-2"/>
    <n v="9.4000000000000004E-3"/>
    <n v="19.065100000000001"/>
    <n v="2.6206"/>
    <n v="0.48"/>
  </r>
  <r>
    <x v="318"/>
    <x v="68"/>
    <x v="96"/>
    <x v="0"/>
    <x v="1"/>
    <x v="1"/>
    <n v="0"/>
    <n v="0"/>
    <n v="2.0999999999999999E-3"/>
    <n v="0"/>
    <n v="0"/>
    <n v="0.17710000000000001"/>
  </r>
  <r>
    <x v="319"/>
    <x v="69"/>
    <x v="97"/>
    <x v="0"/>
    <x v="2"/>
    <x v="27"/>
    <n v="1.4545999999999999"/>
    <n v="0.15629999999999999"/>
    <n v="5.8099999999999999E-2"/>
    <n v="31.957999999999998"/>
    <n v="3.1030000000000002"/>
    <n v="1.1613"/>
  </r>
  <r>
    <x v="320"/>
    <x v="69"/>
    <x v="97"/>
    <x v="0"/>
    <x v="2"/>
    <x v="8"/>
    <n v="0.69610000000000005"/>
    <n v="0"/>
    <n v="0"/>
    <n v="23.8918"/>
    <n v="0"/>
    <n v="0"/>
  </r>
  <r>
    <x v="321"/>
    <x v="70"/>
    <x v="98"/>
    <x v="0"/>
    <x v="2"/>
    <x v="13"/>
    <n v="0.83640000000000003"/>
    <n v="0.55679999999999996"/>
    <n v="0.16950000000000001"/>
    <n v="3.2871000000000001"/>
    <n v="1.9970000000000001"/>
    <n v="0.75749999999999995"/>
  </r>
  <r>
    <x v="322"/>
    <x v="70"/>
    <x v="98"/>
    <x v="0"/>
    <x v="2"/>
    <x v="18"/>
    <n v="1.8599999999999998E-2"/>
    <n v="0"/>
    <n v="0"/>
    <n v="0.14000000000000001"/>
    <n v="0"/>
    <n v="0"/>
  </r>
  <r>
    <x v="323"/>
    <x v="70"/>
    <x v="98"/>
    <x v="0"/>
    <x v="2"/>
    <x v="18"/>
    <n v="0.34599999999999997"/>
    <n v="0.3881"/>
    <n v="0.2717"/>
    <n v="2.4157999999999999"/>
    <n v="2.4979"/>
    <n v="1.68"/>
  </r>
  <r>
    <x v="324"/>
    <x v="70"/>
    <x v="98"/>
    <x v="0"/>
    <x v="2"/>
    <x v="18"/>
    <n v="0.25569999999999998"/>
    <n v="2.6200000000000001E-2"/>
    <n v="0"/>
    <n v="2.27"/>
    <n v="0.31"/>
    <n v="0"/>
  </r>
  <r>
    <x v="325"/>
    <x v="71"/>
    <x v="85"/>
    <x v="0"/>
    <x v="1"/>
    <x v="11"/>
    <n v="4.2514000000000003"/>
    <n v="9.5349000000000004"/>
    <n v="4.3247999999999998"/>
    <n v="118.9742"/>
    <n v="264.43900000000002"/>
    <n v="116.2043"/>
  </r>
  <r>
    <x v="326"/>
    <x v="71"/>
    <x v="85"/>
    <x v="0"/>
    <x v="1"/>
    <x v="11"/>
    <n v="0"/>
    <n v="3.1814"/>
    <n v="1.8621000000000001"/>
    <n v="0"/>
    <n v="84.536500000000004"/>
    <n v="48.9773"/>
  </r>
  <r>
    <x v="327"/>
    <x v="71"/>
    <x v="85"/>
    <x v="0"/>
    <x v="0"/>
    <x v="11"/>
    <n v="9.6434999999999995"/>
    <n v="0"/>
    <n v="0"/>
    <n v="280.5643"/>
    <n v="0"/>
    <n v="0"/>
  </r>
  <r>
    <x v="328"/>
    <x v="71"/>
    <x v="85"/>
    <x v="0"/>
    <x v="0"/>
    <x v="11"/>
    <n v="12.711499999999999"/>
    <n v="0"/>
    <n v="0"/>
    <n v="374.43990000000002"/>
    <n v="0"/>
    <n v="0"/>
  </r>
  <r>
    <x v="329"/>
    <x v="72"/>
    <x v="99"/>
    <x v="0"/>
    <x v="3"/>
    <x v="3"/>
    <n v="0"/>
    <n v="0"/>
    <n v="0.624"/>
    <n v="0"/>
    <n v="0"/>
    <n v="34.035699999999999"/>
  </r>
  <r>
    <x v="330"/>
    <x v="73"/>
    <x v="100"/>
    <x v="0"/>
    <x v="0"/>
    <x v="7"/>
    <n v="192.72300000000001"/>
    <n v="183.24340000000001"/>
    <n v="97.209599999999995"/>
    <n v="7900.9691000000003"/>
    <n v="6838.8454000000002"/>
    <n v="3264.5805999999998"/>
  </r>
  <r>
    <x v="331"/>
    <x v="74"/>
    <x v="101"/>
    <x v="0"/>
    <x v="2"/>
    <x v="24"/>
    <n v="6.59E-2"/>
    <n v="0.95820000000000005"/>
    <n v="0"/>
    <n v="0.18509999999999999"/>
    <n v="3.0327999999999999"/>
    <n v="0"/>
  </r>
  <r>
    <x v="332"/>
    <x v="74"/>
    <x v="101"/>
    <x v="0"/>
    <x v="2"/>
    <x v="24"/>
    <n v="5.1000000000000004E-3"/>
    <n v="0.40570000000000001"/>
    <n v="0"/>
    <n v="1.37E-2"/>
    <n v="1.3527"/>
    <n v="0"/>
  </r>
  <r>
    <x v="333"/>
    <x v="74"/>
    <x v="101"/>
    <x v="0"/>
    <x v="2"/>
    <x v="24"/>
    <n v="0.1182"/>
    <n v="1.0884"/>
    <n v="0"/>
    <n v="0.31890000000000002"/>
    <n v="3.3033999999999999"/>
    <n v="0"/>
  </r>
  <r>
    <x v="334"/>
    <x v="74"/>
    <x v="101"/>
    <x v="0"/>
    <x v="3"/>
    <x v="24"/>
    <n v="0.87180000000000002"/>
    <n v="4.3999999999999997E-2"/>
    <n v="0"/>
    <n v="8.5823999999999998"/>
    <n v="0.58599999999999997"/>
    <n v="0"/>
  </r>
  <r>
    <x v="335"/>
    <x v="74"/>
    <x v="101"/>
    <x v="0"/>
    <x v="3"/>
    <x v="24"/>
    <n v="5.4508000000000001"/>
    <n v="2.1189"/>
    <n v="0.77749999999999997"/>
    <n v="70.866600000000005"/>
    <n v="26.7118"/>
    <n v="8.9403000000000006"/>
  </r>
  <r>
    <x v="336"/>
    <x v="74"/>
    <x v="101"/>
    <x v="0"/>
    <x v="2"/>
    <x v="27"/>
    <n v="9.06E-2"/>
    <n v="0"/>
    <n v="0"/>
    <n v="1.3372999999999999"/>
    <n v="0"/>
    <n v="0"/>
  </r>
  <r>
    <x v="337"/>
    <x v="74"/>
    <x v="101"/>
    <x v="0"/>
    <x v="0"/>
    <x v="28"/>
    <n v="1.3827"/>
    <n v="0.7681"/>
    <n v="2.3199999999999998E-2"/>
    <n v="23.328099999999999"/>
    <n v="13.2523"/>
    <n v="0.52669999999999995"/>
  </r>
  <r>
    <x v="338"/>
    <x v="74"/>
    <x v="101"/>
    <x v="0"/>
    <x v="2"/>
    <x v="29"/>
    <n v="0"/>
    <n v="0"/>
    <n v="20.740400000000001"/>
    <n v="0"/>
    <n v="0"/>
    <n v="310.0301"/>
  </r>
  <r>
    <x v="339"/>
    <x v="74"/>
    <x v="101"/>
    <x v="0"/>
    <x v="2"/>
    <x v="29"/>
    <n v="0"/>
    <n v="0"/>
    <n v="1.2435"/>
    <n v="0"/>
    <n v="0"/>
    <n v="17.1813"/>
  </r>
  <r>
    <x v="340"/>
    <x v="74"/>
    <x v="101"/>
    <x v="0"/>
    <x v="2"/>
    <x v="29"/>
    <n v="4.0780000000000003"/>
    <n v="35.126199999999997"/>
    <n v="26.273900000000001"/>
    <n v="71.718599999999995"/>
    <n v="592.5693"/>
    <n v="441.30500000000001"/>
  </r>
  <r>
    <x v="341"/>
    <x v="74"/>
    <x v="101"/>
    <x v="0"/>
    <x v="2"/>
    <x v="29"/>
    <n v="264.06810000000002"/>
    <n v="329.44319999999999"/>
    <n v="205.9486"/>
    <n v="3958.0279"/>
    <n v="5113.9928"/>
    <n v="2876.5592000000001"/>
  </r>
  <r>
    <x v="342"/>
    <x v="74"/>
    <x v="101"/>
    <x v="0"/>
    <x v="2"/>
    <x v="20"/>
    <n v="8.5046999999999997"/>
    <n v="12.872299999999999"/>
    <n v="4.3821000000000003"/>
    <n v="194.4057"/>
    <n v="338.25259999999997"/>
    <n v="110.48520000000001"/>
  </r>
  <r>
    <x v="343"/>
    <x v="74"/>
    <x v="101"/>
    <x v="0"/>
    <x v="2"/>
    <x v="20"/>
    <n v="171.4581"/>
    <n v="146.56880000000001"/>
    <n v="94.527100000000004"/>
    <n v="5827.8176999999996"/>
    <n v="5036.4476000000004"/>
    <n v="3121.8564000000001"/>
  </r>
  <r>
    <x v="344"/>
    <x v="74"/>
    <x v="101"/>
    <x v="0"/>
    <x v="2"/>
    <x v="20"/>
    <n v="195.73400000000001"/>
    <n v="242.5813"/>
    <n v="163.20820000000001"/>
    <n v="3936.1988000000001"/>
    <n v="5003.2757000000001"/>
    <n v="3062.0891000000001"/>
  </r>
  <r>
    <x v="345"/>
    <x v="74"/>
    <x v="101"/>
    <x v="0"/>
    <x v="2"/>
    <x v="20"/>
    <n v="0.2492"/>
    <n v="5.8500000000000003E-2"/>
    <n v="0"/>
    <n v="4.6970000000000001"/>
    <n v="1.1557999999999999"/>
    <n v="0"/>
  </r>
  <r>
    <x v="346"/>
    <x v="74"/>
    <x v="101"/>
    <x v="0"/>
    <x v="2"/>
    <x v="20"/>
    <n v="0.97950000000000004"/>
    <n v="0"/>
    <n v="0"/>
    <n v="23.239000000000001"/>
    <n v="0"/>
    <n v="0"/>
  </r>
  <r>
    <x v="347"/>
    <x v="74"/>
    <x v="101"/>
    <x v="0"/>
    <x v="2"/>
    <x v="20"/>
    <n v="1.0518000000000001"/>
    <n v="0"/>
    <n v="0"/>
    <n v="15.4772"/>
    <n v="0"/>
    <n v="0"/>
  </r>
  <r>
    <x v="348"/>
    <x v="74"/>
    <x v="101"/>
    <x v="0"/>
    <x v="2"/>
    <x v="20"/>
    <n v="1.23"/>
    <n v="5.5100000000000003E-2"/>
    <n v="0"/>
    <n v="22.518699999999999"/>
    <n v="1.0911"/>
    <n v="0"/>
  </r>
  <r>
    <x v="349"/>
    <x v="74"/>
    <x v="101"/>
    <x v="0"/>
    <x v="2"/>
    <x v="20"/>
    <n v="0.64070000000000005"/>
    <n v="0"/>
    <n v="0"/>
    <n v="15.170299999999999"/>
    <n v="0"/>
    <n v="0"/>
  </r>
  <r>
    <x v="350"/>
    <x v="74"/>
    <x v="101"/>
    <x v="0"/>
    <x v="2"/>
    <x v="20"/>
    <n v="0.8125"/>
    <n v="2.2100000000000002E-2"/>
    <n v="0"/>
    <n v="14.451000000000001"/>
    <n v="0.38290000000000002"/>
    <n v="0"/>
  </r>
  <r>
    <x v="351"/>
    <x v="74"/>
    <x v="101"/>
    <x v="0"/>
    <x v="2"/>
    <x v="20"/>
    <n v="0.40889999999999999"/>
    <n v="7.7899999999999997E-2"/>
    <n v="0"/>
    <n v="9.6999999999999993"/>
    <n v="1.9962"/>
    <n v="0"/>
  </r>
  <r>
    <x v="352"/>
    <x v="74"/>
    <x v="101"/>
    <x v="0"/>
    <x v="2"/>
    <x v="20"/>
    <n v="1.716"/>
    <n v="0"/>
    <n v="0"/>
    <n v="43.815600000000003"/>
    <n v="0"/>
    <n v="0"/>
  </r>
  <r>
    <x v="353"/>
    <x v="74"/>
    <x v="101"/>
    <x v="0"/>
    <x v="2"/>
    <x v="20"/>
    <n v="0.17050000000000001"/>
    <n v="7.7700000000000005E-2"/>
    <n v="0"/>
    <n v="3.5674000000000001"/>
    <n v="1.7087000000000001"/>
    <n v="0"/>
  </r>
  <r>
    <x v="354"/>
    <x v="74"/>
    <x v="101"/>
    <x v="0"/>
    <x v="2"/>
    <x v="20"/>
    <n v="1.5501"/>
    <n v="0.42659999999999998"/>
    <n v="0.12859999999999999"/>
    <n v="28.959800000000001"/>
    <n v="8.7736999999999998"/>
    <n v="2.5320999999999998"/>
  </r>
  <r>
    <x v="355"/>
    <x v="74"/>
    <x v="101"/>
    <x v="0"/>
    <x v="2"/>
    <x v="20"/>
    <n v="0.83640000000000003"/>
    <n v="0.51139999999999997"/>
    <n v="0"/>
    <n v="18.6389"/>
    <n v="9.5508000000000006"/>
    <n v="0"/>
  </r>
  <r>
    <x v="356"/>
    <x v="74"/>
    <x v="101"/>
    <x v="0"/>
    <x v="2"/>
    <x v="20"/>
    <n v="0.72089999999999999"/>
    <n v="0"/>
    <n v="0"/>
    <n v="9.8262"/>
    <n v="0"/>
    <n v="0"/>
  </r>
  <r>
    <x v="357"/>
    <x v="74"/>
    <x v="101"/>
    <x v="0"/>
    <x v="2"/>
    <x v="20"/>
    <n v="0.48470000000000002"/>
    <n v="0"/>
    <n v="0"/>
    <n v="10.088699999999999"/>
    <n v="0"/>
    <n v="0"/>
  </r>
  <r>
    <x v="358"/>
    <x v="74"/>
    <x v="101"/>
    <x v="0"/>
    <x v="2"/>
    <x v="20"/>
    <n v="1.3634999999999999"/>
    <n v="2.1999999999999999E-2"/>
    <n v="0"/>
    <n v="21.971299999999999"/>
    <n v="0.34660000000000002"/>
    <n v="0"/>
  </r>
  <r>
    <x v="359"/>
    <x v="74"/>
    <x v="101"/>
    <x v="0"/>
    <x v="2"/>
    <x v="20"/>
    <n v="0.2001"/>
    <n v="0"/>
    <n v="0"/>
    <n v="3.1530999999999998"/>
    <n v="0"/>
    <n v="0"/>
  </r>
  <r>
    <x v="360"/>
    <x v="74"/>
    <x v="101"/>
    <x v="0"/>
    <x v="2"/>
    <x v="20"/>
    <n v="0.30409999999999998"/>
    <n v="0"/>
    <n v="0"/>
    <n v="4.4311999999999996"/>
    <n v="0"/>
    <n v="0"/>
  </r>
  <r>
    <x v="361"/>
    <x v="74"/>
    <x v="101"/>
    <x v="0"/>
    <x v="2"/>
    <x v="20"/>
    <n v="1.4756"/>
    <n v="0.29549999999999998"/>
    <n v="0.13869999999999999"/>
    <n v="38.575499999999998"/>
    <n v="5.6929999999999996"/>
    <n v="2.5320999999999998"/>
  </r>
  <r>
    <x v="362"/>
    <x v="74"/>
    <x v="101"/>
    <x v="0"/>
    <x v="2"/>
    <x v="20"/>
    <n v="0.92279999999999995"/>
    <n v="0"/>
    <n v="0"/>
    <n v="21.822199999999999"/>
    <n v="0"/>
    <n v="0"/>
  </r>
  <r>
    <x v="363"/>
    <x v="74"/>
    <x v="101"/>
    <x v="0"/>
    <x v="2"/>
    <x v="20"/>
    <n v="105.723"/>
    <n v="231.39109999999999"/>
    <n v="190.30779999999999"/>
    <n v="3632.1455999999998"/>
    <n v="7878.6941999999999"/>
    <n v="6167.0902999999998"/>
  </r>
  <r>
    <x v="364"/>
    <x v="74"/>
    <x v="101"/>
    <x v="0"/>
    <x v="2"/>
    <x v="20"/>
    <n v="0.97140000000000004"/>
    <n v="3.1E-2"/>
    <n v="0"/>
    <n v="22.952100000000002"/>
    <n v="0.70540000000000003"/>
    <n v="0"/>
  </r>
  <r>
    <x v="365"/>
    <x v="74"/>
    <x v="101"/>
    <x v="0"/>
    <x v="2"/>
    <x v="20"/>
    <n v="0.23680000000000001"/>
    <n v="0"/>
    <n v="0"/>
    <n v="4.3052000000000001"/>
    <n v="0"/>
    <n v="0"/>
  </r>
  <r>
    <x v="366"/>
    <x v="74"/>
    <x v="101"/>
    <x v="0"/>
    <x v="3"/>
    <x v="20"/>
    <n v="40.155500000000004"/>
    <n v="53.039099999999998"/>
    <n v="19.640599999999999"/>
    <n v="809.24120000000005"/>
    <n v="1117.5988"/>
    <n v="353.57029999999997"/>
  </r>
  <r>
    <x v="367"/>
    <x v="74"/>
    <x v="101"/>
    <x v="0"/>
    <x v="3"/>
    <x v="20"/>
    <n v="124.0141"/>
    <n v="119.1621"/>
    <n v="72.991100000000003"/>
    <n v="4179.8078999999998"/>
    <n v="4057.9854"/>
    <n v="2439.5360000000001"/>
  </r>
  <r>
    <x v="368"/>
    <x v="74"/>
    <x v="101"/>
    <x v="0"/>
    <x v="3"/>
    <x v="20"/>
    <n v="126.2456"/>
    <n v="161.7927"/>
    <n v="82.616799999999998"/>
    <n v="2585.6873000000001"/>
    <n v="3416.431"/>
    <n v="1611.8206"/>
  </r>
  <r>
    <x v="369"/>
    <x v="74"/>
    <x v="101"/>
    <x v="0"/>
    <x v="3"/>
    <x v="20"/>
    <n v="95.148099999999999"/>
    <n v="213.16730000000001"/>
    <n v="155.60400000000001"/>
    <n v="3171.4767999999999"/>
    <n v="7264.2154"/>
    <n v="5013.7686000000003"/>
  </r>
  <r>
    <x v="370"/>
    <x v="74"/>
    <x v="101"/>
    <x v="0"/>
    <x v="3"/>
    <x v="25"/>
    <n v="19.249199999999998"/>
    <n v="1.4004000000000001"/>
    <n v="0"/>
    <n v="316.69850000000002"/>
    <n v="25.215900000000001"/>
    <n v="0"/>
  </r>
  <r>
    <x v="371"/>
    <x v="74"/>
    <x v="101"/>
    <x v="0"/>
    <x v="3"/>
    <x v="6"/>
    <n v="0.76639999999999997"/>
    <n v="3.6499999999999998E-2"/>
    <n v="0"/>
    <n v="14.48"/>
    <n v="0.67200000000000004"/>
    <n v="0"/>
  </r>
  <r>
    <x v="372"/>
    <x v="74"/>
    <x v="101"/>
    <x v="0"/>
    <x v="3"/>
    <x v="6"/>
    <n v="0.17649999999999999"/>
    <n v="0"/>
    <n v="0"/>
    <n v="2.9144999999999999"/>
    <n v="0"/>
    <n v="0"/>
  </r>
  <r>
    <x v="373"/>
    <x v="74"/>
    <x v="101"/>
    <x v="0"/>
    <x v="3"/>
    <x v="6"/>
    <n v="3.9998"/>
    <n v="2.0327000000000002"/>
    <n v="0.44619999999999999"/>
    <n v="76.599100000000007"/>
    <n v="45.206499999999998"/>
    <n v="9.7993000000000006"/>
  </r>
  <r>
    <x v="374"/>
    <x v="74"/>
    <x v="101"/>
    <x v="0"/>
    <x v="3"/>
    <x v="6"/>
    <n v="3.4256000000000002"/>
    <n v="0.1051"/>
    <n v="0"/>
    <n v="52.9163"/>
    <n v="1.5987"/>
    <n v="0"/>
  </r>
  <r>
    <x v="375"/>
    <x v="74"/>
    <x v="101"/>
    <x v="0"/>
    <x v="3"/>
    <x v="6"/>
    <n v="2.7799999999999998E-2"/>
    <n v="0"/>
    <n v="0"/>
    <n v="0.59"/>
    <n v="0"/>
    <n v="0"/>
  </r>
  <r>
    <x v="376"/>
    <x v="74"/>
    <x v="101"/>
    <x v="0"/>
    <x v="3"/>
    <x v="6"/>
    <n v="2.0205000000000002"/>
    <n v="6.1100000000000002E-2"/>
    <n v="4.3E-3"/>
    <n v="30.746600000000001"/>
    <n v="0.89600000000000002"/>
    <n v="5.6000000000000001E-2"/>
  </r>
  <r>
    <x v="377"/>
    <x v="74"/>
    <x v="101"/>
    <x v="0"/>
    <x v="3"/>
    <x v="6"/>
    <n v="2.1128999999999998"/>
    <n v="3.0200000000000001E-2"/>
    <n v="0"/>
    <n v="32.116500000000002"/>
    <n v="0.44800000000000001"/>
    <n v="0"/>
  </r>
  <r>
    <x v="378"/>
    <x v="74"/>
    <x v="101"/>
    <x v="0"/>
    <x v="3"/>
    <x v="6"/>
    <n v="0.03"/>
    <n v="5.8999999999999999E-3"/>
    <n v="0"/>
    <n v="0.67200000000000004"/>
    <n v="0.16800000000000001"/>
    <n v="0"/>
  </r>
  <r>
    <x v="379"/>
    <x v="74"/>
    <x v="101"/>
    <x v="0"/>
    <x v="3"/>
    <x v="6"/>
    <n v="3.5200000000000002E-2"/>
    <n v="0"/>
    <n v="0"/>
    <n v="0.65949999999999998"/>
    <n v="0"/>
    <n v="0"/>
  </r>
  <r>
    <x v="380"/>
    <x v="74"/>
    <x v="101"/>
    <x v="0"/>
    <x v="3"/>
    <x v="6"/>
    <n v="0.17460000000000001"/>
    <n v="5.2699999999999997E-2"/>
    <n v="1.09E-2"/>
    <n v="3.8159000000000001"/>
    <n v="1.4"/>
    <n v="0.28000000000000003"/>
  </r>
  <r>
    <x v="381"/>
    <x v="74"/>
    <x v="101"/>
    <x v="0"/>
    <x v="3"/>
    <x v="6"/>
    <n v="1.0412999999999999"/>
    <n v="0"/>
    <n v="0"/>
    <n v="23.5031"/>
    <n v="0"/>
    <n v="0"/>
  </r>
  <r>
    <x v="382"/>
    <x v="74"/>
    <x v="101"/>
    <x v="0"/>
    <x v="3"/>
    <x v="6"/>
    <n v="3.8100000000000002E-2"/>
    <n v="7.4000000000000003E-3"/>
    <n v="1.11E-2"/>
    <n v="0.67200000000000004"/>
    <n v="0.112"/>
    <n v="0.16800000000000001"/>
  </r>
  <r>
    <x v="383"/>
    <x v="74"/>
    <x v="101"/>
    <x v="0"/>
    <x v="3"/>
    <x v="6"/>
    <n v="1.0855999999999999"/>
    <n v="0.58120000000000005"/>
    <n v="0"/>
    <n v="19.170200000000001"/>
    <n v="10.2963"/>
    <n v="0"/>
  </r>
  <r>
    <x v="384"/>
    <x v="74"/>
    <x v="101"/>
    <x v="0"/>
    <x v="3"/>
    <x v="6"/>
    <n v="0.72109999999999996"/>
    <n v="5.3105000000000002"/>
    <n v="0"/>
    <n v="13.8162"/>
    <n v="130.43450000000001"/>
    <n v="0"/>
  </r>
  <r>
    <x v="385"/>
    <x v="74"/>
    <x v="101"/>
    <x v="0"/>
    <x v="3"/>
    <x v="6"/>
    <n v="0.80620000000000003"/>
    <n v="0"/>
    <n v="0"/>
    <n v="18.060500000000001"/>
    <n v="0"/>
    <n v="0"/>
  </r>
  <r>
    <x v="386"/>
    <x v="74"/>
    <x v="101"/>
    <x v="0"/>
    <x v="2"/>
    <x v="7"/>
    <n v="15.5359"/>
    <n v="0.67789999999999995"/>
    <n v="0"/>
    <n v="345.3125"/>
    <n v="13.0631"/>
    <n v="0"/>
  </r>
  <r>
    <x v="387"/>
    <x v="74"/>
    <x v="101"/>
    <x v="0"/>
    <x v="0"/>
    <x v="7"/>
    <n v="0.33579999999999999"/>
    <n v="0"/>
    <n v="0"/>
    <n v="9.1472999999999995"/>
    <n v="0"/>
    <n v="0"/>
  </r>
  <r>
    <x v="388"/>
    <x v="74"/>
    <x v="101"/>
    <x v="0"/>
    <x v="0"/>
    <x v="7"/>
    <n v="27.901900000000001"/>
    <n v="8.1903000000000006"/>
    <n v="0.88470000000000004"/>
    <n v="618.1096"/>
    <n v="185.2071"/>
    <n v="18.353999999999999"/>
  </r>
  <r>
    <x v="389"/>
    <x v="74"/>
    <x v="101"/>
    <x v="0"/>
    <x v="0"/>
    <x v="7"/>
    <n v="2.58E-2"/>
    <n v="7.9000000000000008E-3"/>
    <n v="0"/>
    <n v="0.57599999999999996"/>
    <n v="0.38400000000000001"/>
    <n v="0"/>
  </r>
  <r>
    <x v="390"/>
    <x v="74"/>
    <x v="101"/>
    <x v="0"/>
    <x v="0"/>
    <x v="7"/>
    <n v="0.55289999999999995"/>
    <n v="0.47820000000000001"/>
    <n v="8.14E-2"/>
    <n v="17.2395"/>
    <n v="16.416799999999999"/>
    <n v="2.5183"/>
  </r>
  <r>
    <x v="391"/>
    <x v="74"/>
    <x v="101"/>
    <x v="0"/>
    <x v="0"/>
    <x v="7"/>
    <n v="3.53"/>
    <n v="1.6247"/>
    <n v="0"/>
    <n v="92.468000000000004"/>
    <n v="38.321599999999997"/>
    <n v="0"/>
  </r>
  <r>
    <x v="392"/>
    <x v="74"/>
    <x v="101"/>
    <x v="0"/>
    <x v="2"/>
    <x v="7"/>
    <n v="0.42930000000000001"/>
    <n v="0.67159999999999997"/>
    <n v="0"/>
    <n v="9.3439999999999994"/>
    <n v="12.986599999999999"/>
    <n v="0"/>
  </r>
  <r>
    <x v="393"/>
    <x v="74"/>
    <x v="101"/>
    <x v="0"/>
    <x v="0"/>
    <x v="7"/>
    <n v="0.48170000000000002"/>
    <n v="0"/>
    <n v="0"/>
    <n v="13.007199999999999"/>
    <n v="0"/>
    <n v="0"/>
  </r>
  <r>
    <x v="394"/>
    <x v="74"/>
    <x v="101"/>
    <x v="0"/>
    <x v="0"/>
    <x v="7"/>
    <n v="0"/>
    <n v="0"/>
    <n v="8.9800000000000005E-2"/>
    <n v="0"/>
    <n v="0"/>
    <n v="1.9842"/>
  </r>
  <r>
    <x v="395"/>
    <x v="74"/>
    <x v="101"/>
    <x v="0"/>
    <x v="0"/>
    <x v="7"/>
    <n v="0"/>
    <n v="0"/>
    <n v="0.16889999999999999"/>
    <n v="0"/>
    <n v="0"/>
    <n v="4.3247"/>
  </r>
  <r>
    <x v="396"/>
    <x v="74"/>
    <x v="101"/>
    <x v="0"/>
    <x v="0"/>
    <x v="7"/>
    <n v="4.2949000000000002"/>
    <n v="0.33839999999999998"/>
    <n v="0"/>
    <n v="87.926599999999993"/>
    <n v="6.2496999999999998"/>
    <n v="0"/>
  </r>
  <r>
    <x v="397"/>
    <x v="74"/>
    <x v="101"/>
    <x v="0"/>
    <x v="0"/>
    <x v="7"/>
    <n v="13.5303"/>
    <n v="2.3972000000000002"/>
    <n v="0.73670000000000002"/>
    <n v="272.4522"/>
    <n v="43.2258"/>
    <n v="13.669700000000001"/>
  </r>
  <r>
    <x v="398"/>
    <x v="74"/>
    <x v="101"/>
    <x v="0"/>
    <x v="0"/>
    <x v="7"/>
    <n v="8.9724000000000004"/>
    <n v="2.3250000000000002"/>
    <n v="9.6000000000000002E-2"/>
    <n v="202.00700000000001"/>
    <n v="55.267699999999998"/>
    <n v="2.0488"/>
  </r>
  <r>
    <x v="399"/>
    <x v="74"/>
    <x v="101"/>
    <x v="0"/>
    <x v="0"/>
    <x v="7"/>
    <n v="0.24310000000000001"/>
    <n v="0.1048"/>
    <n v="0"/>
    <n v="5.5039999999999996"/>
    <n v="2.3589000000000002"/>
    <n v="0"/>
  </r>
  <r>
    <x v="400"/>
    <x v="74"/>
    <x v="101"/>
    <x v="0"/>
    <x v="2"/>
    <x v="1"/>
    <n v="299.24509999999998"/>
    <n v="239.40260000000001"/>
    <n v="70.132900000000006"/>
    <n v="8505.4575000000004"/>
    <n v="6543.0663999999997"/>
    <n v="1626.3281999999999"/>
  </r>
  <r>
    <x v="401"/>
    <x v="74"/>
    <x v="101"/>
    <x v="0"/>
    <x v="3"/>
    <x v="1"/>
    <n v="228.9504"/>
    <n v="220.107"/>
    <n v="99.616699999999994"/>
    <n v="6068.1558999999997"/>
    <n v="5788.4287000000004"/>
    <n v="2377.8838000000001"/>
  </r>
  <r>
    <x v="402"/>
    <x v="74"/>
    <x v="101"/>
    <x v="0"/>
    <x v="2"/>
    <x v="30"/>
    <n v="0"/>
    <n v="0"/>
    <n v="4.2099999999999999E-2"/>
    <n v="0"/>
    <n v="0"/>
    <n v="0.45"/>
  </r>
  <r>
    <x v="403"/>
    <x v="74"/>
    <x v="101"/>
    <x v="0"/>
    <x v="2"/>
    <x v="30"/>
    <n v="0"/>
    <n v="0"/>
    <n v="0.3543"/>
    <n v="0"/>
    <n v="0"/>
    <n v="4.1279000000000003"/>
  </r>
  <r>
    <x v="404"/>
    <x v="74"/>
    <x v="101"/>
    <x v="0"/>
    <x v="2"/>
    <x v="30"/>
    <n v="9.0039999999999996"/>
    <n v="27.005199999999999"/>
    <n v="7.3737000000000004"/>
    <n v="168.55369999999999"/>
    <n v="470.04379999999998"/>
    <n v="117.492"/>
  </r>
  <r>
    <x v="405"/>
    <x v="74"/>
    <x v="101"/>
    <x v="0"/>
    <x v="2"/>
    <x v="30"/>
    <n v="9.5648"/>
    <n v="36.633899999999997"/>
    <n v="14.959"/>
    <n v="136.73179999999999"/>
    <n v="512.46489999999994"/>
    <n v="178.05029999999999"/>
  </r>
  <r>
    <x v="406"/>
    <x v="74"/>
    <x v="101"/>
    <x v="0"/>
    <x v="0"/>
    <x v="8"/>
    <n v="0.18679999999999999"/>
    <n v="0"/>
    <n v="0"/>
    <n v="4.4957000000000003"/>
    <n v="0"/>
    <n v="0"/>
  </r>
  <r>
    <x v="407"/>
    <x v="74"/>
    <x v="101"/>
    <x v="1"/>
    <x v="3"/>
    <x v="6"/>
    <n v="0.2319"/>
    <n v="0"/>
    <n v="0"/>
    <n v="3.4005999999999998"/>
    <n v="0"/>
    <n v="0"/>
  </r>
  <r>
    <x v="408"/>
    <x v="74"/>
    <x v="102"/>
    <x v="0"/>
    <x v="3"/>
    <x v="6"/>
    <n v="0.2671"/>
    <n v="0"/>
    <n v="0"/>
    <n v="5.0296000000000003"/>
    <n v="0"/>
    <n v="0"/>
  </r>
  <r>
    <x v="409"/>
    <x v="74"/>
    <x v="102"/>
    <x v="0"/>
    <x v="0"/>
    <x v="7"/>
    <n v="0.10589999999999999"/>
    <n v="1.12E-2"/>
    <n v="0"/>
    <n v="2.2591999999999999"/>
    <n v="0.2389"/>
    <n v="0"/>
  </r>
  <r>
    <x v="410"/>
    <x v="75"/>
    <x v="103"/>
    <x v="0"/>
    <x v="5"/>
    <x v="18"/>
    <n v="2.1598999999999999"/>
    <n v="5.1025"/>
    <n v="6.3079000000000001"/>
    <n v="36.4"/>
    <n v="77.862799999999993"/>
    <n v="91.042100000000005"/>
  </r>
  <r>
    <x v="411"/>
    <x v="75"/>
    <x v="103"/>
    <x v="0"/>
    <x v="5"/>
    <x v="18"/>
    <n v="10.1408"/>
    <n v="7.4416000000000002"/>
    <n v="2.3571"/>
    <n v="91.191500000000005"/>
    <n v="64.807599999999994"/>
    <n v="19.349299999999999"/>
  </r>
  <r>
    <x v="412"/>
    <x v="76"/>
    <x v="104"/>
    <x v="0"/>
    <x v="1"/>
    <x v="1"/>
    <n v="2.9045000000000001"/>
    <n v="0"/>
    <n v="0"/>
    <n v="116.9823"/>
    <n v="0"/>
    <n v="0"/>
  </r>
  <r>
    <x v="413"/>
    <x v="76"/>
    <x v="104"/>
    <x v="0"/>
    <x v="0"/>
    <x v="1"/>
    <n v="2.9113000000000002"/>
    <n v="0"/>
    <n v="0"/>
    <n v="119.83880000000001"/>
    <n v="0"/>
    <n v="0"/>
  </r>
  <r>
    <x v="414"/>
    <x v="76"/>
    <x v="104"/>
    <x v="0"/>
    <x v="0"/>
    <x v="1"/>
    <n v="4.2324000000000002"/>
    <n v="0"/>
    <n v="0"/>
    <n v="171.05330000000001"/>
    <n v="0"/>
    <n v="0"/>
  </r>
  <r>
    <x v="415"/>
    <x v="76"/>
    <x v="104"/>
    <x v="0"/>
    <x v="1"/>
    <x v="1"/>
    <n v="2.6360000000000001"/>
    <n v="0"/>
    <n v="0"/>
    <n v="103.9999"/>
    <n v="0"/>
    <n v="0"/>
  </r>
  <r>
    <x v="416"/>
    <x v="76"/>
    <x v="105"/>
    <x v="0"/>
    <x v="1"/>
    <x v="31"/>
    <n v="59.2014"/>
    <n v="82.022099999999995"/>
    <n v="31.495899999999999"/>
    <n v="4163.6220999999996"/>
    <n v="5172.0583999999999"/>
    <n v="1931.7985000000001"/>
  </r>
  <r>
    <x v="417"/>
    <x v="76"/>
    <x v="105"/>
    <x v="0"/>
    <x v="1"/>
    <x v="31"/>
    <n v="6.7272999999999996"/>
    <n v="1.7110000000000001"/>
    <n v="1.5649999999999999"/>
    <n v="473.34"/>
    <n v="112.14570000000001"/>
    <n v="108.86020000000001"/>
  </r>
  <r>
    <x v="418"/>
    <x v="77"/>
    <x v="106"/>
    <x v="0"/>
    <x v="3"/>
    <x v="3"/>
    <n v="53.944000000000003"/>
    <n v="41.741"/>
    <n v="12.7791"/>
    <n v="3422.2186000000002"/>
    <n v="2176.2671999999998"/>
    <n v="723.71550000000002"/>
  </r>
  <r>
    <x v="419"/>
    <x v="77"/>
    <x v="106"/>
    <x v="0"/>
    <x v="3"/>
    <x v="8"/>
    <n v="10.5024"/>
    <n v="1.2988"/>
    <n v="0.38090000000000002"/>
    <n v="626.13580000000002"/>
    <n v="67.750100000000003"/>
    <n v="17.785299999999999"/>
  </r>
  <r>
    <x v="420"/>
    <x v="77"/>
    <x v="107"/>
    <x v="0"/>
    <x v="1"/>
    <x v="32"/>
    <n v="1.4174"/>
    <n v="2.3006000000000002"/>
    <n v="0"/>
    <n v="78.384500000000003"/>
    <n v="113.29300000000001"/>
    <n v="0"/>
  </r>
  <r>
    <x v="421"/>
    <x v="78"/>
    <x v="108"/>
    <x v="0"/>
    <x v="4"/>
    <x v="8"/>
    <n v="2.9096000000000002"/>
    <n v="6.0198"/>
    <n v="5.5109000000000004"/>
    <n v="55.366500000000002"/>
    <n v="108.4705"/>
    <n v="98.710099999999997"/>
  </r>
  <r>
    <x v="422"/>
    <x v="79"/>
    <x v="109"/>
    <x v="0"/>
    <x v="1"/>
    <x v="8"/>
    <n v="0"/>
    <n v="0"/>
    <n v="9.1999999999999998E-3"/>
    <n v="0"/>
    <n v="0"/>
    <n v="0.30320000000000003"/>
  </r>
  <r>
    <x v="423"/>
    <x v="80"/>
    <x v="110"/>
    <x v="0"/>
    <x v="1"/>
    <x v="11"/>
    <n v="0.35610000000000003"/>
    <n v="0"/>
    <n v="0"/>
    <n v="5.6227"/>
    <n v="0"/>
    <n v="0"/>
  </r>
  <r>
    <x v="424"/>
    <x v="80"/>
    <x v="110"/>
    <x v="0"/>
    <x v="0"/>
    <x v="8"/>
    <n v="1.3764000000000001"/>
    <n v="2.7699999999999999E-2"/>
    <n v="0"/>
    <n v="28.943100000000001"/>
    <n v="0.64290000000000003"/>
    <n v="0"/>
  </r>
  <r>
    <x v="425"/>
    <x v="80"/>
    <x v="111"/>
    <x v="0"/>
    <x v="2"/>
    <x v="27"/>
    <n v="6.7664999999999997"/>
    <n v="0.54779999999999995"/>
    <n v="0"/>
    <n v="162.6651"/>
    <n v="12.7288"/>
    <n v="0"/>
  </r>
  <r>
    <x v="426"/>
    <x v="80"/>
    <x v="111"/>
    <x v="0"/>
    <x v="2"/>
    <x v="11"/>
    <n v="14.513400000000001"/>
    <n v="11.551399999999999"/>
    <n v="8.6715"/>
    <n v="383.46769999999998"/>
    <n v="307.81580000000002"/>
    <n v="255.3304"/>
  </r>
  <r>
    <x v="427"/>
    <x v="80"/>
    <x v="111"/>
    <x v="0"/>
    <x v="2"/>
    <x v="11"/>
    <n v="17.654699999999998"/>
    <n v="12.539"/>
    <n v="4.6113"/>
    <n v="482.61590000000001"/>
    <n v="340.10579999999999"/>
    <n v="153.12389999999999"/>
  </r>
  <r>
    <x v="428"/>
    <x v="80"/>
    <x v="112"/>
    <x v="0"/>
    <x v="0"/>
    <x v="3"/>
    <n v="20.231999999999999"/>
    <n v="11.313700000000001"/>
    <n v="0"/>
    <n v="583.67819999999995"/>
    <n v="345.19709999999998"/>
    <n v="0"/>
  </r>
  <r>
    <x v="429"/>
    <x v="81"/>
    <x v="113"/>
    <x v="0"/>
    <x v="1"/>
    <x v="3"/>
    <n v="0"/>
    <n v="20.586300000000001"/>
    <n v="29.262499999999999"/>
    <n v="0"/>
    <n v="1265.0245"/>
    <n v="1657.2372"/>
  </r>
  <r>
    <x v="430"/>
    <x v="81"/>
    <x v="113"/>
    <x v="0"/>
    <x v="1"/>
    <x v="8"/>
    <n v="26.3474"/>
    <n v="52.005499999999998"/>
    <n v="32.744900000000001"/>
    <n v="920.46799999999996"/>
    <n v="1819.1769999999999"/>
    <n v="1062.7058999999999"/>
  </r>
  <r>
    <x v="431"/>
    <x v="82"/>
    <x v="114"/>
    <x v="0"/>
    <x v="0"/>
    <x v="8"/>
    <n v="0.1701"/>
    <n v="0.71989999999999998"/>
    <n v="4.9299999999999997E-2"/>
    <n v="1.008"/>
    <n v="3.8765000000000001"/>
    <n v="0.28799999999999998"/>
  </r>
  <r>
    <x v="432"/>
    <x v="82"/>
    <x v="114"/>
    <x v="1"/>
    <x v="0"/>
    <x v="18"/>
    <n v="0.8034"/>
    <n v="0.64690000000000003"/>
    <n v="0.2069"/>
    <n v="3.92"/>
    <n v="3.48"/>
    <n v="1.1399999999999999"/>
  </r>
  <r>
    <x v="433"/>
    <x v="83"/>
    <x v="115"/>
    <x v="0"/>
    <x v="1"/>
    <x v="8"/>
    <n v="16.393699999999999"/>
    <n v="13.5199"/>
    <n v="5.5843999999999996"/>
    <n v="841.14940000000001"/>
    <n v="693.07759999999996"/>
    <n v="305.17070000000001"/>
  </r>
  <r>
    <x v="434"/>
    <x v="83"/>
    <x v="115"/>
    <x v="0"/>
    <x v="1"/>
    <x v="8"/>
    <n v="2.1175000000000002"/>
    <n v="0.66620000000000001"/>
    <n v="0"/>
    <n v="137.34479999999999"/>
    <n v="41.348700000000001"/>
    <n v="0"/>
  </r>
  <r>
    <x v="435"/>
    <x v="84"/>
    <x v="116"/>
    <x v="0"/>
    <x v="1"/>
    <x v="3"/>
    <n v="1.9984999999999999"/>
    <n v="3.2300000000000002E-2"/>
    <n v="0"/>
    <n v="141.71469999999999"/>
    <n v="1.9971000000000001"/>
    <n v="0"/>
  </r>
  <r>
    <x v="436"/>
    <x v="84"/>
    <x v="117"/>
    <x v="0"/>
    <x v="2"/>
    <x v="2"/>
    <n v="136.17420000000001"/>
    <n v="152.24180000000001"/>
    <n v="70.924899999999994"/>
    <n v="7155.8876"/>
    <n v="7606.2596000000003"/>
    <n v="3236.7058000000002"/>
  </r>
  <r>
    <x v="437"/>
    <x v="84"/>
    <x v="117"/>
    <x v="0"/>
    <x v="1"/>
    <x v="3"/>
    <n v="166.38550000000001"/>
    <n v="154.19909999999999"/>
    <n v="78.409199999999998"/>
    <n v="8805.9477000000006"/>
    <n v="8032.0802000000003"/>
    <n v="3983.7687000000001"/>
  </r>
  <r>
    <x v="438"/>
    <x v="84"/>
    <x v="117"/>
    <x v="0"/>
    <x v="1"/>
    <x v="8"/>
    <n v="7.4499999999999997E-2"/>
    <n v="0"/>
    <n v="0"/>
    <n v="5.2851999999999997"/>
    <n v="0"/>
    <n v="0"/>
  </r>
  <r>
    <x v="439"/>
    <x v="84"/>
    <x v="117"/>
    <x v="0"/>
    <x v="0"/>
    <x v="8"/>
    <n v="4.2912999999999997"/>
    <n v="3.2158000000000002"/>
    <n v="0.39529999999999998"/>
    <n v="253.55109999999999"/>
    <n v="179.24690000000001"/>
    <n v="19.092600000000001"/>
  </r>
  <r>
    <x v="440"/>
    <x v="84"/>
    <x v="118"/>
    <x v="0"/>
    <x v="3"/>
    <x v="3"/>
    <n v="12.5473"/>
    <n v="21.5989"/>
    <n v="10.3498"/>
    <n v="734.85479999999995"/>
    <n v="1234.4389000000001"/>
    <n v="587.04769999999996"/>
  </r>
  <r>
    <x v="441"/>
    <x v="84"/>
    <x v="118"/>
    <x v="0"/>
    <x v="3"/>
    <x v="18"/>
    <n v="0.68669999999999998"/>
    <n v="0"/>
    <n v="0"/>
    <n v="52.465899999999998"/>
    <n v="0"/>
    <n v="0"/>
  </r>
  <r>
    <x v="442"/>
    <x v="84"/>
    <x v="118"/>
    <x v="0"/>
    <x v="3"/>
    <x v="8"/>
    <n v="37.213999999999999"/>
    <n v="7.2126999999999999"/>
    <n v="0"/>
    <n v="2501.2190000000001"/>
    <n v="451.55340000000001"/>
    <n v="0"/>
  </r>
  <r>
    <x v="443"/>
    <x v="84"/>
    <x v="118"/>
    <x v="0"/>
    <x v="3"/>
    <x v="9"/>
    <n v="2.7111999999999998"/>
    <n v="0"/>
    <n v="0"/>
    <n v="136.8194"/>
    <n v="0"/>
    <n v="0"/>
  </r>
  <r>
    <x v="444"/>
    <x v="84"/>
    <x v="119"/>
    <x v="0"/>
    <x v="3"/>
    <x v="18"/>
    <n v="0"/>
    <n v="19.032699999999998"/>
    <n v="19.713699999999999"/>
    <n v="0"/>
    <n v="1111.0531000000001"/>
    <n v="1063.3096"/>
  </r>
  <r>
    <x v="445"/>
    <x v="84"/>
    <x v="120"/>
    <x v="0"/>
    <x v="2"/>
    <x v="2"/>
    <n v="1.0042"/>
    <n v="0"/>
    <n v="0"/>
    <n v="76.638000000000005"/>
    <n v="0"/>
    <n v="0"/>
  </r>
  <r>
    <x v="446"/>
    <x v="84"/>
    <x v="120"/>
    <x v="0"/>
    <x v="1"/>
    <x v="3"/>
    <n v="251.465"/>
    <n v="145.75579999999999"/>
    <n v="77.822699999999998"/>
    <n v="15122.0514"/>
    <n v="8717.0684000000001"/>
    <n v="4462.7493999999997"/>
  </r>
  <r>
    <x v="447"/>
    <x v="84"/>
    <x v="120"/>
    <x v="0"/>
    <x v="2"/>
    <x v="31"/>
    <n v="15.856"/>
    <n v="22.015000000000001"/>
    <n v="3.4060000000000001"/>
    <n v="1023.9475"/>
    <n v="1391.8684000000001"/>
    <n v="229.50649999999999"/>
  </r>
  <r>
    <x v="448"/>
    <x v="84"/>
    <x v="120"/>
    <x v="0"/>
    <x v="1"/>
    <x v="11"/>
    <n v="0"/>
    <n v="0"/>
    <n v="0.28920000000000001"/>
    <n v="0"/>
    <n v="0"/>
    <n v="17.3521"/>
  </r>
  <r>
    <x v="449"/>
    <x v="84"/>
    <x v="120"/>
    <x v="0"/>
    <x v="1"/>
    <x v="8"/>
    <n v="2.5535999999999999"/>
    <n v="3.8500999999999999"/>
    <n v="0.82650000000000001"/>
    <n v="126.3817"/>
    <n v="174.249"/>
    <n v="46.762"/>
  </r>
  <r>
    <x v="450"/>
    <x v="84"/>
    <x v="120"/>
    <x v="0"/>
    <x v="1"/>
    <x v="8"/>
    <n v="0"/>
    <n v="0.25659999999999999"/>
    <n v="0"/>
    <n v="0"/>
    <n v="13.196899999999999"/>
    <n v="0"/>
  </r>
  <r>
    <x v="451"/>
    <x v="85"/>
    <x v="121"/>
    <x v="0"/>
    <x v="2"/>
    <x v="24"/>
    <n v="0"/>
    <n v="0.5504"/>
    <n v="0.74670000000000003"/>
    <n v="0"/>
    <n v="6.7556000000000003"/>
    <n v="9.0073000000000008"/>
  </r>
  <r>
    <x v="452"/>
    <x v="85"/>
    <x v="121"/>
    <x v="0"/>
    <x v="2"/>
    <x v="0"/>
    <n v="4.7511999999999999"/>
    <n v="3.7549000000000001"/>
    <n v="1.1405000000000001"/>
    <n v="70.328999999999994"/>
    <n v="55.465600000000002"/>
    <n v="16.475899999999999"/>
  </r>
  <r>
    <x v="453"/>
    <x v="85"/>
    <x v="121"/>
    <x v="0"/>
    <x v="0"/>
    <x v="0"/>
    <n v="1.23E-2"/>
    <n v="2.7799999999999998E-2"/>
    <n v="0"/>
    <n v="0.18"/>
    <n v="0.46179999999999999"/>
    <n v="0"/>
  </r>
  <r>
    <x v="454"/>
    <x v="85"/>
    <x v="121"/>
    <x v="0"/>
    <x v="3"/>
    <x v="0"/>
    <n v="11.1968"/>
    <n v="6.3734000000000002"/>
    <n v="1.3038000000000001"/>
    <n v="170.3914"/>
    <n v="94.576999999999998"/>
    <n v="19.252400000000002"/>
  </r>
  <r>
    <x v="455"/>
    <x v="85"/>
    <x v="121"/>
    <x v="0"/>
    <x v="3"/>
    <x v="25"/>
    <n v="0"/>
    <n v="0.89970000000000006"/>
    <n v="2.4813999999999998"/>
    <n v="0"/>
    <n v="21.057300000000001"/>
    <n v="55.505499999999998"/>
  </r>
  <r>
    <x v="456"/>
    <x v="85"/>
    <x v="121"/>
    <x v="0"/>
    <x v="2"/>
    <x v="33"/>
    <n v="2.3999999999999998E-3"/>
    <n v="0"/>
    <n v="0"/>
    <n v="5.7000000000000002E-2"/>
    <n v="0"/>
    <n v="0"/>
  </r>
  <r>
    <x v="457"/>
    <x v="85"/>
    <x v="121"/>
    <x v="0"/>
    <x v="0"/>
    <x v="7"/>
    <n v="0.22650000000000001"/>
    <n v="0"/>
    <n v="0"/>
    <n v="7.2465999999999999"/>
    <n v="0"/>
    <n v="0"/>
  </r>
  <r>
    <x v="458"/>
    <x v="85"/>
    <x v="121"/>
    <x v="0"/>
    <x v="1"/>
    <x v="7"/>
    <n v="0.74809999999999999"/>
    <n v="0"/>
    <n v="0"/>
    <n v="25.650500000000001"/>
    <n v="0"/>
    <n v="0"/>
  </r>
  <r>
    <x v="459"/>
    <x v="85"/>
    <x v="121"/>
    <x v="0"/>
    <x v="1"/>
    <x v="7"/>
    <n v="7.1352000000000002"/>
    <n v="0.98229999999999995"/>
    <n v="0.17499999999999999"/>
    <n v="199.79089999999999"/>
    <n v="31.398199999999999"/>
    <n v="5.5553999999999997"/>
  </r>
  <r>
    <x v="460"/>
    <x v="85"/>
    <x v="121"/>
    <x v="0"/>
    <x v="1"/>
    <x v="7"/>
    <n v="38.636499999999998"/>
    <n v="25.403500000000001"/>
    <n v="9.4920000000000009"/>
    <n v="1064.7156"/>
    <n v="712.85350000000005"/>
    <n v="244.268"/>
  </r>
  <r>
    <x v="461"/>
    <x v="85"/>
    <x v="121"/>
    <x v="0"/>
    <x v="3"/>
    <x v="7"/>
    <n v="3.0739999999999998"/>
    <n v="0.314"/>
    <n v="6.4199999999999993E-2"/>
    <n v="79.571700000000007"/>
    <n v="7.3994999999999997"/>
    <n v="1.5809"/>
  </r>
  <r>
    <x v="462"/>
    <x v="85"/>
    <x v="121"/>
    <x v="0"/>
    <x v="3"/>
    <x v="7"/>
    <n v="57.373899999999999"/>
    <n v="28.978999999999999"/>
    <n v="4.5244999999999997"/>
    <n v="1605.2121"/>
    <n v="798.29169999999999"/>
    <n v="128.11799999999999"/>
  </r>
  <r>
    <x v="463"/>
    <x v="85"/>
    <x v="121"/>
    <x v="0"/>
    <x v="2"/>
    <x v="8"/>
    <n v="0.84319999999999995"/>
    <n v="0"/>
    <n v="0"/>
    <n v="38.896500000000003"/>
    <n v="0"/>
    <n v="0"/>
  </r>
  <r>
    <x v="464"/>
    <x v="85"/>
    <x v="121"/>
    <x v="0"/>
    <x v="2"/>
    <x v="34"/>
    <n v="0.32700000000000001"/>
    <n v="7.9399999999999998E-2"/>
    <n v="0"/>
    <n v="8.1380999999999997"/>
    <n v="2.0009000000000001"/>
    <n v="0"/>
  </r>
  <r>
    <x v="465"/>
    <x v="85"/>
    <x v="121"/>
    <x v="0"/>
    <x v="2"/>
    <x v="1"/>
    <n v="30.607399999999998"/>
    <n v="87.617999999999995"/>
    <n v="25.586099999999998"/>
    <n v="1468.2443000000001"/>
    <n v="4062.0709999999999"/>
    <n v="1119.9051999999999"/>
  </r>
  <r>
    <x v="466"/>
    <x v="86"/>
    <x v="122"/>
    <x v="0"/>
    <x v="1"/>
    <x v="8"/>
    <n v="0.26200000000000001"/>
    <n v="0.1656"/>
    <n v="0"/>
    <n v="18.860299999999999"/>
    <n v="11.920500000000001"/>
    <n v="0"/>
  </r>
  <r>
    <x v="467"/>
    <x v="86"/>
    <x v="123"/>
    <x v="0"/>
    <x v="3"/>
    <x v="3"/>
    <n v="8.2482000000000006"/>
    <n v="0.97330000000000005"/>
    <n v="0"/>
    <n v="505.78250000000003"/>
    <n v="58.400799999999997"/>
    <n v="0"/>
  </r>
  <r>
    <x v="468"/>
    <x v="86"/>
    <x v="124"/>
    <x v="0"/>
    <x v="2"/>
    <x v="3"/>
    <n v="5.7763"/>
    <n v="9.2917000000000005"/>
    <n v="0.95250000000000001"/>
    <n v="311.05720000000002"/>
    <n v="539.97619999999995"/>
    <n v="61.781700000000001"/>
  </r>
  <r>
    <x v="469"/>
    <x v="86"/>
    <x v="125"/>
    <x v="0"/>
    <x v="1"/>
    <x v="2"/>
    <n v="55.7286"/>
    <n v="53.311300000000003"/>
    <n v="19.850100000000001"/>
    <n v="3644.6801999999998"/>
    <n v="3675.9913999999999"/>
    <n v="1253.7541000000001"/>
  </r>
  <r>
    <x v="470"/>
    <x v="86"/>
    <x v="125"/>
    <x v="0"/>
    <x v="2"/>
    <x v="3"/>
    <n v="0"/>
    <n v="4.4955999999999996"/>
    <n v="0"/>
    <n v="0"/>
    <n v="365.2654"/>
    <n v="0"/>
  </r>
  <r>
    <x v="471"/>
    <x v="86"/>
    <x v="125"/>
    <x v="0"/>
    <x v="1"/>
    <x v="18"/>
    <n v="5.5199999999999999E-2"/>
    <n v="0"/>
    <n v="0"/>
    <n v="3.36"/>
    <n v="0"/>
    <n v="0"/>
  </r>
  <r>
    <x v="472"/>
    <x v="86"/>
    <x v="126"/>
    <x v="0"/>
    <x v="1"/>
    <x v="3"/>
    <n v="5.3959999999999999"/>
    <n v="7.0095999999999998"/>
    <n v="3.0608"/>
    <n v="290.08819999999997"/>
    <n v="393.84969999999998"/>
    <n v="158.0343"/>
  </r>
  <r>
    <x v="473"/>
    <x v="86"/>
    <x v="126"/>
    <x v="0"/>
    <x v="2"/>
    <x v="35"/>
    <n v="39.775100000000002"/>
    <n v="29.160399999999999"/>
    <n v="6.0876999999999999"/>
    <n v="2342.4566"/>
    <n v="1534.7882999999999"/>
    <n v="287.5865"/>
  </r>
  <r>
    <x v="474"/>
    <x v="86"/>
    <x v="126"/>
    <x v="0"/>
    <x v="1"/>
    <x v="8"/>
    <n v="73.361099999999993"/>
    <n v="57.603700000000003"/>
    <n v="12.2355"/>
    <n v="4307.2969000000003"/>
    <n v="3235.6705999999999"/>
    <n v="650.06870000000004"/>
  </r>
  <r>
    <x v="475"/>
    <x v="86"/>
    <x v="126"/>
    <x v="0"/>
    <x v="1"/>
    <x v="8"/>
    <n v="7.6637000000000004"/>
    <n v="5.7187999999999999"/>
    <n v="3.4293999999999998"/>
    <n v="412.75630000000001"/>
    <n v="314.68810000000002"/>
    <n v="185.42320000000001"/>
  </r>
  <r>
    <x v="476"/>
    <x v="86"/>
    <x v="126"/>
    <x v="0"/>
    <x v="1"/>
    <x v="8"/>
    <n v="97.800700000000006"/>
    <n v="61.680799999999998"/>
    <n v="23.825800000000001"/>
    <n v="4426.3535000000002"/>
    <n v="2861.6763999999998"/>
    <n v="975.65369999999996"/>
  </r>
  <r>
    <x v="477"/>
    <x v="86"/>
    <x v="126"/>
    <x v="0"/>
    <x v="1"/>
    <x v="1"/>
    <n v="137.74010000000001"/>
    <n v="71.2029"/>
    <n v="36.735799999999998"/>
    <n v="9592.0316999999995"/>
    <n v="4713.7775000000001"/>
    <n v="2155.8667"/>
  </r>
  <r>
    <x v="478"/>
    <x v="86"/>
    <x v="126"/>
    <x v="0"/>
    <x v="2"/>
    <x v="1"/>
    <n v="34.508099999999999"/>
    <n v="21.348800000000001"/>
    <n v="13.753299999999999"/>
    <n v="2073.3334"/>
    <n v="1342.2397000000001"/>
    <n v="736.28099999999995"/>
  </r>
  <r>
    <x v="479"/>
    <x v="86"/>
    <x v="127"/>
    <x v="0"/>
    <x v="1"/>
    <x v="8"/>
    <n v="0"/>
    <n v="3.1300000000000001E-2"/>
    <n v="0"/>
    <n v="0"/>
    <n v="1.2579"/>
    <n v="0"/>
  </r>
  <r>
    <x v="480"/>
    <x v="87"/>
    <x v="128"/>
    <x v="0"/>
    <x v="3"/>
    <x v="11"/>
    <n v="7.7399999999999997E-2"/>
    <n v="0.20100000000000001"/>
    <n v="1.1599999999999999E-2"/>
    <n v="1.2943"/>
    <n v="3.8485999999999998"/>
    <n v="0.1971"/>
  </r>
  <r>
    <x v="481"/>
    <x v="87"/>
    <x v="128"/>
    <x v="0"/>
    <x v="1"/>
    <x v="8"/>
    <n v="6.8400000000000002E-2"/>
    <n v="9.8500000000000004E-2"/>
    <n v="3.8800000000000001E-2"/>
    <n v="1.5943000000000001"/>
    <n v="2.7256999999999998"/>
    <n v="0.93600000000000005"/>
  </r>
  <r>
    <x v="482"/>
    <x v="88"/>
    <x v="129"/>
    <x v="0"/>
    <x v="1"/>
    <x v="2"/>
    <n v="1.2095"/>
    <n v="0"/>
    <n v="0"/>
    <n v="58.601599999999998"/>
    <n v="0"/>
    <n v="0"/>
  </r>
  <r>
    <x v="483"/>
    <x v="88"/>
    <x v="129"/>
    <x v="0"/>
    <x v="1"/>
    <x v="3"/>
    <n v="3.4049"/>
    <n v="0"/>
    <n v="0"/>
    <n v="181.5942"/>
    <n v="0"/>
    <n v="0"/>
  </r>
  <r>
    <x v="484"/>
    <x v="88"/>
    <x v="129"/>
    <x v="0"/>
    <x v="1"/>
    <x v="8"/>
    <n v="0.27539999999999998"/>
    <n v="0"/>
    <n v="0"/>
    <n v="11.6632"/>
    <n v="0"/>
    <n v="0"/>
  </r>
  <r>
    <x v="485"/>
    <x v="88"/>
    <x v="129"/>
    <x v="0"/>
    <x v="1"/>
    <x v="8"/>
    <n v="0.36249999999999999"/>
    <n v="0"/>
    <n v="0"/>
    <n v="17.400500000000001"/>
    <n v="0"/>
    <n v="0"/>
  </r>
  <r>
    <x v="486"/>
    <x v="89"/>
    <x v="130"/>
    <x v="0"/>
    <x v="1"/>
    <x v="3"/>
    <n v="0"/>
    <n v="0"/>
    <n v="3.1633"/>
    <n v="0"/>
    <n v="0"/>
    <n v="171.71680000000001"/>
  </r>
  <r>
    <x v="487"/>
    <x v="90"/>
    <x v="131"/>
    <x v="0"/>
    <x v="1"/>
    <x v="3"/>
    <n v="0"/>
    <n v="10.313499999999999"/>
    <n v="10.635400000000001"/>
    <n v="0"/>
    <n v="475.9119"/>
    <n v="461.80500000000001"/>
  </r>
  <r>
    <x v="488"/>
    <x v="90"/>
    <x v="131"/>
    <x v="0"/>
    <x v="1"/>
    <x v="8"/>
    <n v="54.988799999999998"/>
    <n v="32.909799999999997"/>
    <n v="13.822900000000001"/>
    <n v="1994.8981000000001"/>
    <n v="1164.6792"/>
    <n v="463.84859999999998"/>
  </r>
  <r>
    <x v="489"/>
    <x v="90"/>
    <x v="132"/>
    <x v="0"/>
    <x v="1"/>
    <x v="8"/>
    <n v="0.1076"/>
    <n v="0.1249"/>
    <n v="7.1900000000000006E-2"/>
    <n v="5.5374999999999996"/>
    <n v="6.4203000000000001"/>
    <n v="3.698"/>
  </r>
  <r>
    <x v="490"/>
    <x v="91"/>
    <x v="133"/>
    <x v="0"/>
    <x v="2"/>
    <x v="11"/>
    <n v="0.30349999999999999"/>
    <n v="7.7100000000000002E-2"/>
    <n v="0"/>
    <n v="10.7111"/>
    <n v="2.9864999999999999"/>
    <n v="0"/>
  </r>
  <r>
    <x v="491"/>
    <x v="91"/>
    <x v="133"/>
    <x v="0"/>
    <x v="2"/>
    <x v="8"/>
    <n v="34.620800000000003"/>
    <n v="13.6218"/>
    <n v="2.1793999999999998"/>
    <n v="2351.0409"/>
    <n v="917.37919999999997"/>
    <n v="151.65029999999999"/>
  </r>
  <r>
    <x v="492"/>
    <x v="92"/>
    <x v="134"/>
    <x v="0"/>
    <x v="0"/>
    <x v="3"/>
    <n v="0"/>
    <n v="0"/>
    <n v="1.9407000000000001"/>
    <n v="0"/>
    <n v="0"/>
    <n v="110.1146"/>
  </r>
  <r>
    <x v="493"/>
    <x v="93"/>
    <x v="135"/>
    <x v="0"/>
    <x v="1"/>
    <x v="8"/>
    <n v="2.0785999999999998"/>
    <n v="7.1199999999999999E-2"/>
    <n v="0"/>
    <n v="104.04649999999999"/>
    <n v="3.8216000000000001"/>
    <n v="0"/>
  </r>
  <r>
    <x v="494"/>
    <x v="94"/>
    <x v="136"/>
    <x v="0"/>
    <x v="2"/>
    <x v="3"/>
    <n v="0"/>
    <n v="0"/>
    <n v="0.1532"/>
    <n v="0"/>
    <n v="0"/>
    <n v="9.1946999999999992"/>
  </r>
  <r>
    <x v="495"/>
    <x v="94"/>
    <x v="137"/>
    <x v="0"/>
    <x v="2"/>
    <x v="8"/>
    <n v="0"/>
    <n v="2.8000000000000001E-2"/>
    <n v="14.061199999999999"/>
    <n v="0"/>
    <n v="1.8513999999999999"/>
    <n v="850.57989999999995"/>
  </r>
  <r>
    <x v="496"/>
    <x v="94"/>
    <x v="137"/>
    <x v="0"/>
    <x v="2"/>
    <x v="8"/>
    <n v="0"/>
    <n v="3.1899999999999998E-2"/>
    <n v="8.1054999999999993"/>
    <n v="0"/>
    <n v="2.1086"/>
    <n v="502.96"/>
  </r>
  <r>
    <x v="497"/>
    <x v="95"/>
    <x v="138"/>
    <x v="0"/>
    <x v="2"/>
    <x v="3"/>
    <n v="25.839099999999998"/>
    <n v="9.0121000000000002"/>
    <n v="10.0204"/>
    <n v="1539.4739"/>
    <n v="509.45670000000001"/>
    <n v="585.52229999999997"/>
  </r>
  <r>
    <x v="498"/>
    <x v="96"/>
    <x v="139"/>
    <x v="0"/>
    <x v="5"/>
    <x v="10"/>
    <n v="9.0969999999999995"/>
    <n v="13.0891"/>
    <n v="4.6460999999999997"/>
    <n v="134.3818"/>
    <n v="186.4109"/>
    <n v="56.316099999999999"/>
  </r>
  <r>
    <x v="499"/>
    <x v="96"/>
    <x v="139"/>
    <x v="0"/>
    <x v="3"/>
    <x v="10"/>
    <n v="10.3986"/>
    <n v="26.6724"/>
    <n v="21.6234"/>
    <n v="151.6679"/>
    <n v="465.6979"/>
    <n v="443.52179999999998"/>
  </r>
  <r>
    <x v="500"/>
    <x v="97"/>
    <x v="135"/>
    <x v="0"/>
    <x v="1"/>
    <x v="8"/>
    <n v="1.8396999999999999"/>
    <n v="4.3616000000000001"/>
    <n v="0"/>
    <n v="115.49760000000001"/>
    <n v="300.46589999999998"/>
    <n v="0"/>
  </r>
  <r>
    <x v="501"/>
    <x v="98"/>
    <x v="140"/>
    <x v="2"/>
    <x v="6"/>
    <x v="36"/>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s v="BABY2000 CAMOMILLA W 20 BAG ABA SRL"/>
    <s v=" Nova Garbagnate"/>
    <x v="0"/>
    <s v="BAGS"/>
    <s v="WITHOUT EXTRA PROTECTCARE INDICATION"/>
    <n v="20"/>
    <n v="1.9350000000000001"/>
    <n v="0.624"/>
    <n v="0"/>
    <n v="24.822900000000001"/>
    <n v="9.4085999999999999"/>
    <n v="0"/>
    <s v="-67.75"/>
    <n v="1.3109999999999999"/>
  </r>
  <r>
    <s v="BAMBO NATURE W 80 BAG KAPAK"/>
    <s v=" BeneCare"/>
    <x v="1"/>
    <s v="BAGS"/>
    <s v="WITHOUT EXTRA PROTECTCARE INDICATION"/>
    <n v="80"/>
    <n v="1.09E-2"/>
    <n v="0"/>
    <n v="0"/>
    <n v="0.16"/>
    <n v="0"/>
    <n v="0"/>
    <s v="0.00"/>
    <n v="1.09E-2"/>
  </r>
  <r>
    <s v="BABY CREMA PLAY TIME CAMOMILE W 100 PINK"/>
    <s v=" VigaLife"/>
    <x v="2"/>
    <s v="BAGS"/>
    <s v="PH BALANCED"/>
    <n v="100"/>
    <n v="81.467399999999998"/>
    <n v="92.903000000000006"/>
    <n v="52.511899999999997"/>
    <n v="2980.7042999999999"/>
    <n v="3415.3553999999999"/>
    <n v="1823.0734"/>
    <s v="14.04"/>
    <n v="-11.435600000000008"/>
  </r>
  <r>
    <s v="BABYCREMA PLAYTIME CAMOMILE W 100 ORANGE"/>
    <s v=" VigaLife"/>
    <x v="2"/>
    <s v="BAGS"/>
    <s v="PH BALANCED"/>
    <n v="100"/>
    <n v="165.22800000000001"/>
    <n v="172.68430000000001"/>
    <n v="91.1357"/>
    <n v="5930.9056"/>
    <n v="6183.6273000000001"/>
    <n v="3125.7986999999998"/>
    <s v="4.51"/>
    <n v="-7.4562999999999988"/>
  </r>
  <r>
    <s v="BABY CREMA CAMOMIL W 120 BAG KAPAK"/>
    <s v=" VigaLife"/>
    <x v="2"/>
    <s v="BAGS"/>
    <s v="PH BALANCED"/>
    <n v="120"/>
    <n v="842.87239999999997"/>
    <n v="745.33579999999995"/>
    <n v="366.95890000000003"/>
    <n v="38888.539799999999"/>
    <n v="31985.000499999998"/>
    <n v="14135.173000000001"/>
    <s v="-11.57"/>
    <n v="97.536600000000021"/>
  </r>
  <r>
    <s v="BABY CREMA ALOE 15 BAG"/>
    <s v=" VigaLife"/>
    <x v="2"/>
    <s v="BAGS"/>
    <s v="WITHOUT EXTRA PROTECTCARE INDICATION"/>
    <n v="15"/>
    <n v="12.774800000000001"/>
    <n v="10.866"/>
    <n v="6.7743000000000002"/>
    <n v="151.26679999999999"/>
    <n v="127.18680000000001"/>
    <n v="77.459400000000002"/>
    <s v="-14.94"/>
    <n v="1.9088000000000012"/>
  </r>
  <r>
    <s v="BABY CREMA CAMOMIL W 15 BAG"/>
    <s v=" VigaLife"/>
    <x v="2"/>
    <s v="BAGS"/>
    <s v="WITHOUT EXTRA PROTECTCARE INDICATION"/>
    <n v="15"/>
    <n v="20.055299999999999"/>
    <n v="17.836099999999998"/>
    <n v="11.187099999999999"/>
    <n v="231.08779999999999"/>
    <n v="217.71180000000001"/>
    <n v="141.00800000000001"/>
    <s v="-11.07"/>
    <n v="2.2192000000000007"/>
  </r>
  <r>
    <s v="BABY CREMA PH5.5 W 3X15/1FR BAG &amp;&amp;&amp;"/>
    <s v=" VigaLife"/>
    <x v="2"/>
    <s v="BAGS"/>
    <s v="PH BALANCED"/>
    <n v="15"/>
    <n v="1.2461"/>
    <n v="7.7651000000000003"/>
    <n v="2.2378"/>
    <n v="20.960899999999999"/>
    <n v="127.6666"/>
    <n v="33.570999999999998"/>
    <s v="523.15"/>
    <n v="-6.5190000000000001"/>
  </r>
  <r>
    <s v="BABY CREMA WATER 99% W 15 BAG"/>
    <s v=" VigaLife"/>
    <x v="2"/>
    <s v="BAGS"/>
    <s v="ALCOHOL FREE"/>
    <n v="15"/>
    <n v="9.6471999999999998"/>
    <n v="10.7577"/>
    <n v="7.0723000000000003"/>
    <n v="112.20610000000001"/>
    <n v="131.05279999999999"/>
    <n v="85.719800000000006"/>
    <s v="11.51"/>
    <n v="-1.1105"/>
  </r>
  <r>
    <s v="BABY CREMA CAMOMIL W 40 BAG"/>
    <s v=" VigaLife"/>
    <x v="2"/>
    <s v="BAGS"/>
    <s v="WITHOUT EXTRA PROTECTCARE INDICATION"/>
    <n v="40"/>
    <n v="0.1235"/>
    <n v="0"/>
    <n v="0"/>
    <n v="2.2799999999999998"/>
    <n v="0"/>
    <n v="0"/>
    <s v="0.00"/>
    <n v="0.1235"/>
  </r>
  <r>
    <s v="BABY CREMA COTTON&amp;PANTENOL W 4X56 BAG"/>
    <s v=" VigaLife"/>
    <x v="2"/>
    <s v="BAGS"/>
    <s v="PH BALANCED"/>
    <n v="56"/>
    <n v="0"/>
    <n v="0"/>
    <n v="7.1128"/>
    <n v="0"/>
    <n v="0"/>
    <n v="247.09899999999999"/>
    <s v="0.00"/>
    <n v="0"/>
  </r>
  <r>
    <s v="BABY CREMA COTTON&amp;PANTENOL W 56 BAG"/>
    <s v=" VigaLife"/>
    <x v="2"/>
    <s v="BAGS"/>
    <s v="PH BALANCED"/>
    <n v="56"/>
    <n v="0.18310000000000001"/>
    <n v="0.1116"/>
    <n v="0.38700000000000001"/>
    <n v="5.8884999999999996"/>
    <n v="3.7909999999999999"/>
    <n v="14.3827"/>
    <s v="-39.05"/>
    <n v="7.1500000000000008E-2"/>
  </r>
  <r>
    <s v="BABY CREMA ALOE 64 BAG"/>
    <s v=" VigaLife"/>
    <x v="2"/>
    <s v="BAGS"/>
    <s v="WITHOUT EXTRA PROTECTCARE INDICATION"/>
    <n v="64"/>
    <n v="1.8938999999999999"/>
    <n v="0"/>
    <n v="0.22520000000000001"/>
    <n v="49.9726"/>
    <n v="0"/>
    <n v="6.9500999999999999"/>
    <s v="0.00"/>
    <n v="1.8938999999999999"/>
  </r>
  <r>
    <s v="BABY CREMA CAMOMIL W 64 BAG"/>
    <s v=" VigaLife"/>
    <x v="2"/>
    <s v="BAGS"/>
    <s v="WITHOUT EXTRA PROTECTCARE INDICATION"/>
    <n v="64"/>
    <n v="1.3514999999999999"/>
    <n v="1.6999999999999999E-3"/>
    <n v="0"/>
    <n v="37.322600000000001"/>
    <n v="6.4000000000000001E-2"/>
    <n v="0"/>
    <s v="-99.87"/>
    <n v="1.3497999999999999"/>
  </r>
  <r>
    <s v="BABY CREMA PLAY TIME CAMOMIL W 64 BAG"/>
    <s v=" VigaLife"/>
    <x v="2"/>
    <s v="BAGS"/>
    <s v="PH BALANCED"/>
    <n v="64"/>
    <n v="5.8978000000000002"/>
    <n v="0.1087"/>
    <n v="0"/>
    <n v="169.58080000000001"/>
    <n v="3.3822999999999999"/>
    <n v="0"/>
    <s v="-98.16"/>
    <n v="5.7891000000000004"/>
  </r>
  <r>
    <s v="BABYCREMA CAMOMIL W 4X64 BAG SUPERTSENA"/>
    <s v=" VigaLife"/>
    <x v="2"/>
    <s v="BAGS"/>
    <s v="ALCOHOL FREE"/>
    <n v="64"/>
    <n v="0.69669999999999999"/>
    <n v="28.392900000000001"/>
    <n v="2.1978"/>
    <n v="25.606300000000001"/>
    <n v="1226.3661999999999"/>
    <n v="96.438800000000001"/>
    <s v="3975.34"/>
    <n v="-27.696200000000001"/>
  </r>
  <r>
    <s v="BABY CREMA ALOE&amp;ALMOND OIL W 72 BAG"/>
    <s v=" VigaLife"/>
    <x v="2"/>
    <s v="BAGS"/>
    <s v="WITHOUT EXTRA PROTECTCARE INDICATION"/>
    <n v="72"/>
    <n v="117.6534"/>
    <n v="68.117699999999999"/>
    <n v="28.349900000000002"/>
    <n v="3055.9405999999999"/>
    <n v="1781.8513"/>
    <n v="711.07719999999995"/>
    <s v="-42.10"/>
    <n v="49.535700000000006"/>
  </r>
  <r>
    <s v="BABY CREMA CAMOMIL&amp;ALMOND W 72 BAG"/>
    <s v=" VigaLife"/>
    <x v="2"/>
    <s v="BAGS"/>
    <s v="WITHOUT EXTRA PROTECTCARE INDICATION"/>
    <n v="72"/>
    <n v="38.677799999999998"/>
    <n v="31.4983"/>
    <n v="9.7551000000000005"/>
    <n v="954.11220000000003"/>
    <n v="803.28520000000003"/>
    <n v="236.19829999999999"/>
    <s v="-18.56"/>
    <n v="7.1794999999999973"/>
  </r>
  <r>
    <s v="BABY CREMA COTTON W 2X72BAG50%OT TS.VTOR"/>
    <s v=" VigaLife"/>
    <x v="2"/>
    <s v="BAGS"/>
    <s v="PH BALANCED"/>
    <n v="72"/>
    <n v="6.1199999999999997E-2"/>
    <n v="0"/>
    <n v="0"/>
    <n v="1.6046"/>
    <n v="0"/>
    <n v="0"/>
    <s v="0.00"/>
    <n v="6.1199999999999997E-2"/>
  </r>
  <r>
    <s v="BABY CREMA COTTON&amp;PANTENOL W 72 BAG"/>
    <s v=" VigaLife"/>
    <x v="2"/>
    <s v="BAGS"/>
    <s v="PH BALANCED"/>
    <n v="72"/>
    <n v="36.521799999999999"/>
    <n v="5.1192000000000002"/>
    <n v="1.1213"/>
    <n v="1199.5277000000001"/>
    <n v="135.36869999999999"/>
    <n v="30.554400000000001"/>
    <s v="-85.98"/>
    <n v="31.4026"/>
  </r>
  <r>
    <s v="BABY CREMA NEVEN PH5.5 W 72 BAG"/>
    <s v=" VigaLife"/>
    <x v="2"/>
    <s v="BAGS"/>
    <s v="PH BALANCED"/>
    <n v="72"/>
    <n v="21.958300000000001"/>
    <n v="39.467100000000002"/>
    <n v="10.7844"/>
    <n v="726.31399999999996"/>
    <n v="1508.4713999999999"/>
    <n v="314.52640000000002"/>
    <s v="79.74"/>
    <n v="-17.508800000000001"/>
  </r>
  <r>
    <s v="BABY CREMA SMRADLIKA PH5.5 W 72 BAG"/>
    <s v=" VigaLife"/>
    <x v="2"/>
    <s v="BAGS"/>
    <s v="PH BALANCED"/>
    <n v="72"/>
    <n v="27.983599999999999"/>
    <n v="162.41050000000001"/>
    <n v="103.16800000000001"/>
    <n v="928.81529999999998"/>
    <n v="5484.9444999999996"/>
    <n v="3446.0194999999999"/>
    <s v="480.38"/>
    <n v="-134.42690000000002"/>
  </r>
  <r>
    <s v="BABY CREMA WATER 99% W 72 BAG"/>
    <s v=" VigaLife"/>
    <x v="2"/>
    <s v="BAGS"/>
    <s v="WITHOUT EXTRA PROTECTCARE INDICATION"/>
    <n v="72"/>
    <n v="221.17019999999999"/>
    <n v="159.9896"/>
    <n v="77.865600000000001"/>
    <n v="6715.8593000000001"/>
    <n v="4333.2687999999998"/>
    <n v="2035.5381"/>
    <s v="-27.66"/>
    <n v="61.180599999999998"/>
  </r>
  <r>
    <s v="BABYCREMA CAMOMILE W 2X72BAG50%OTTS.VTOR"/>
    <s v=" VigaLife"/>
    <x v="2"/>
    <s v="BAGS"/>
    <s v="PH BALANCED"/>
    <n v="72"/>
    <n v="6.4486999999999997"/>
    <n v="1.6863999999999999"/>
    <n v="0"/>
    <n v="194.65190000000001"/>
    <n v="50.700299999999999"/>
    <n v="0"/>
    <s v="-73.85"/>
    <n v="4.7622999999999998"/>
  </r>
  <r>
    <s v="BABYCREMA PLAYTIME CAMOMIL W 72 BAG KAPA"/>
    <s v=" VigaLife"/>
    <x v="2"/>
    <s v="BAGS"/>
    <s v="PH BALANCED"/>
    <n v="72"/>
    <n v="1663.8369"/>
    <n v="1815.6596999999999"/>
    <n v="1049.2485999999999"/>
    <n v="62012.672500000001"/>
    <n v="68679.966"/>
    <n v="37856.881999999998"/>
    <s v="9.12"/>
    <n v="-151.82279999999992"/>
  </r>
  <r>
    <s v="BABY CREMA ALOE W 80 BAG"/>
    <s v=" VigaLife"/>
    <x v="2"/>
    <s v="BAGS"/>
    <s v="WITHOUT EXTRA PROTECTCARE INDICATION"/>
    <n v="80"/>
    <n v="1.7698"/>
    <n v="0.36170000000000002"/>
    <n v="0.20810000000000001"/>
    <n v="50.220500000000001"/>
    <n v="12.068099999999999"/>
    <n v="5.4642999999999997"/>
    <s v="-79.56"/>
    <n v="1.4081000000000001"/>
  </r>
  <r>
    <s v="BABY CREMA CAMOMIL W 80 BAG"/>
    <s v=" VigaLife"/>
    <x v="2"/>
    <s v="BAGS"/>
    <s v="WITHOUT EXTRA PROTECTCARE INDICATION"/>
    <n v="80"/>
    <n v="61.981900000000003"/>
    <n v="56.970199999999998"/>
    <n v="23.8948"/>
    <n v="1524.2099000000001"/>
    <n v="1404.4858999999999"/>
    <n v="554.68420000000003"/>
    <s v="-8.09"/>
    <n v="5.0117000000000047"/>
  </r>
  <r>
    <s v="LINDY VITAMIN E PH5.5 W 120 BAG"/>
    <s v=" Intelligent Initiative"/>
    <x v="3"/>
    <s v="BAGS"/>
    <s v="PH BALANCED"/>
    <n v="120"/>
    <n v="78.227999999999994"/>
    <n v="99.030500000000004"/>
    <n v="56.674100000000003"/>
    <n v="4816.5708000000004"/>
    <n v="5822.6243999999997"/>
    <n v="2923.4182999999998"/>
    <s v="26.59"/>
    <n v="-20.802500000000009"/>
  </r>
  <r>
    <s v="LINDY ALOE VERA&amp;VIT E W 64 BAG"/>
    <s v=" Intelligent Initiative"/>
    <x v="3"/>
    <s v="BAGS"/>
    <s v="WITHOUT EXTRA PROTECTCARE INDICATION"/>
    <n v="64"/>
    <n v="11.11"/>
    <n v="8.9543999999999997"/>
    <n v="2.2328999999999999"/>
    <n v="523.16819999999996"/>
    <n v="387.32229999999998"/>
    <n v="84.428399999999996"/>
    <s v="-19.40"/>
    <n v="2.1555999999999997"/>
  </r>
  <r>
    <s v="LINDY ALOE VERA&amp;VIT E W 64 BAG KAPAK"/>
    <s v=" Intelligent Initiative"/>
    <x v="3"/>
    <s v="BAGS"/>
    <s v="WITHOUT EXTRA PROTECTCARE INDICATION"/>
    <n v="64"/>
    <n v="79.953000000000003"/>
    <n v="73.757099999999994"/>
    <n v="40.362299999999998"/>
    <n v="3388.3481999999999"/>
    <n v="2840.8843000000002"/>
    <n v="1387.0689"/>
    <s v="-7.75"/>
    <n v="6.1959000000000088"/>
  </r>
  <r>
    <s v="LINDY CAMOMILE W 64 BAG"/>
    <s v=" Intelligent Initiative"/>
    <x v="3"/>
    <s v="BAGS"/>
    <s v="WITHOUT EXTRA PROTECTCARE INDICATION"/>
    <n v="64"/>
    <n v="12.195"/>
    <n v="8.5597999999999992"/>
    <n v="1.6516999999999999"/>
    <n v="553.03880000000004"/>
    <n v="369.83049999999997"/>
    <n v="64.100099999999998"/>
    <s v="-29.81"/>
    <n v="3.6352000000000011"/>
  </r>
  <r>
    <s v="LINDY CAMOMILE W 64 BAG KAPAK"/>
    <s v=" Intelligent Initiative"/>
    <x v="3"/>
    <s v="BAGS"/>
    <s v="WITHOUT EXTRA PROTECTCARE INDICATION"/>
    <n v="64"/>
    <n v="60.510800000000003"/>
    <n v="52.405999999999999"/>
    <n v="30.122800000000002"/>
    <n v="2540.1291999999999"/>
    <n v="2011.4869000000001"/>
    <n v="1066.0352"/>
    <s v="-13.39"/>
    <n v="8.1048000000000044"/>
  </r>
  <r>
    <s v="LINDY CREAM W 64 BAG KAPAK"/>
    <s v=" Intelligent Initiative"/>
    <x v="3"/>
    <s v="BAGS"/>
    <s v="WITHOUT EXTRA PROTECTCARE INDICATION"/>
    <n v="64"/>
    <n v="47.8005"/>
    <n v="51.199100000000001"/>
    <n v="29.6906"/>
    <n v="1970.2177999999999"/>
    <n v="1924.2328"/>
    <n v="1027.8571999999999"/>
    <s v="7.11"/>
    <n v="-3.3986000000000018"/>
  </r>
  <r>
    <s v="LINDY CREAM&amp;VIT.E PH5.5 W 64 BAG"/>
    <s v=" Intelligent Initiative"/>
    <x v="3"/>
    <s v="BAGS"/>
    <s v="PH BALANCED"/>
    <n v="64"/>
    <n v="0"/>
    <n v="3.2536"/>
    <n v="4.3144"/>
    <n v="0"/>
    <n v="139.34979999999999"/>
    <n v="169.84690000000001"/>
    <s v="0.00"/>
    <n v="-3.2536"/>
  </r>
  <r>
    <s v="LINDY OLIVE OIL EXTR. PH5.5 W 64 BAG"/>
    <s v=" Intelligent Initiative"/>
    <x v="3"/>
    <s v="BAGS"/>
    <s v="PH BALANCED"/>
    <n v="64"/>
    <n v="5.5922000000000001"/>
    <n v="5.3672000000000004"/>
    <n v="2.5727000000000002"/>
    <n v="261.04790000000003"/>
    <n v="232.43600000000001"/>
    <n v="93.995500000000007"/>
    <s v="-4.02"/>
    <n v="0.22499999999999964"/>
  </r>
  <r>
    <s v="LINDY OLIVE OIL EXTR. W 64 BAG KAPAK"/>
    <s v=" Intelligent Initiative"/>
    <x v="3"/>
    <s v="BAGS"/>
    <s v="PH BALANCED"/>
    <n v="64"/>
    <n v="53.490699999999997"/>
    <n v="44.783700000000003"/>
    <n v="26.440899999999999"/>
    <n v="2262.5698000000002"/>
    <n v="1667.4681"/>
    <n v="920.88139999999999"/>
    <s v="-16.28"/>
    <n v="8.7069999999999936"/>
  </r>
  <r>
    <s v="LINDY SENSITIVE COTTON PH5.5 W 64 BAG"/>
    <s v=" Intelligent Initiative"/>
    <x v="3"/>
    <s v="BAGS"/>
    <s v="SENSITIVE"/>
    <n v="64"/>
    <n v="8.2710000000000008"/>
    <n v="9.9309999999999992"/>
    <n v="1.1805000000000001"/>
    <n v="392.0086"/>
    <n v="426.19690000000003"/>
    <n v="46.280799999999999"/>
    <s v="20.07"/>
    <n v="-1.6599999999999984"/>
  </r>
  <r>
    <s v="LINDY SENSITIVE W 64 BAG KAPAK"/>
    <s v=" Intelligent Initiative"/>
    <x v="3"/>
    <s v="BAGS"/>
    <s v="SENSITIVE"/>
    <n v="64"/>
    <n v="70.562299999999993"/>
    <n v="56.785600000000002"/>
    <n v="30.796600000000002"/>
    <n v="2842.3220000000001"/>
    <n v="2121.0371"/>
    <n v="1067.8224"/>
    <s v="-19.52"/>
    <n v="13.776699999999991"/>
  </r>
  <r>
    <s v="LINDY WHITE TEA&amp;VIT E W 64 BAG"/>
    <s v=" Intelligent Initiative"/>
    <x v="3"/>
    <s v="BAGS"/>
    <s v="PH BALANCED"/>
    <n v="64"/>
    <n v="34.495899999999999"/>
    <n v="35.333399999999997"/>
    <n v="28.078199999999999"/>
    <n v="1446.3839"/>
    <n v="1359.9783"/>
    <n v="967.9162"/>
    <s v="2.43"/>
    <n v="-0.83749999999999858"/>
  </r>
  <r>
    <s v="LINDY PREMIUM LAVENDER W 90 BAG KAPAK"/>
    <s v=" Intelligent Initiative"/>
    <x v="3"/>
    <s v="BAGS"/>
    <s v="ALCOHOL FREE"/>
    <n v="90"/>
    <n v="49.5715"/>
    <n v="57.943199999999997"/>
    <n v="41.595799999999997"/>
    <n v="2203.8969999999999"/>
    <n v="2377.6914999999999"/>
    <n v="1614.8326999999999"/>
    <s v="16.89"/>
    <n v="-8.371699999999997"/>
  </r>
  <r>
    <s v="LUBA BABY B5&amp;VIT E PH5.5W 120 BAG"/>
    <s v=" BroadLeaf Group"/>
    <x v="4"/>
    <s v="BAGS"/>
    <s v="PH BALANCED"/>
    <n v="120"/>
    <n v="0"/>
    <n v="0"/>
    <n v="5.7117000000000004"/>
    <n v="0"/>
    <n v="0"/>
    <n v="338.46300000000002"/>
    <s v="0.00"/>
    <n v="0"/>
  </r>
  <r>
    <s v="LUBA BABY B5&amp;VIT E PH5.5 90 W BAG"/>
    <s v=" BroadLeaf Group"/>
    <x v="4"/>
    <s v="BAGS"/>
    <s v="PH BALANCED"/>
    <n v="90"/>
    <n v="0"/>
    <n v="4.4634999999999998"/>
    <n v="0.1893"/>
    <n v="0"/>
    <n v="231.33420000000001"/>
    <n v="9.7352000000000007"/>
    <s v="0.00"/>
    <n v="-4.4634999999999998"/>
  </r>
  <r>
    <s v="HUGGLO BABY PH5.5 W 120 BAG KAPAK"/>
    <s v=" ArborChemistry"/>
    <x v="5"/>
    <s v="BAGS"/>
    <s v="PH BALANCED"/>
    <n v="120"/>
    <n v="0.70520000000000005"/>
    <n v="0"/>
    <n v="0"/>
    <n v="47.325299999999999"/>
    <n v="0"/>
    <n v="0"/>
    <s v="0.00"/>
    <n v="0.70520000000000005"/>
  </r>
  <r>
    <s v="PAPILION BABY ALOE VERA W 100 BAG KAPAK"/>
    <s v=" ArkPapers"/>
    <x v="6"/>
    <s v="BAGS"/>
    <s v="PH BALANCED"/>
    <n v="100"/>
    <n v="0.76280000000000003"/>
    <n v="0.23669999999999999"/>
    <n v="0.1135"/>
    <n v="43.074599999999997"/>
    <n v="13.9861"/>
    <n v="6.5488999999999997"/>
    <s v="-68.97"/>
    <n v="0.52610000000000001"/>
  </r>
  <r>
    <s v="PAPILION BABY SENSITIVE W 100 BAG KAPAK"/>
    <s v=" ArkPapers"/>
    <x v="6"/>
    <s v="BAGS"/>
    <s v="SENSITIVE"/>
    <n v="100"/>
    <n v="14.3467"/>
    <n v="14.9893"/>
    <n v="7.9457000000000004"/>
    <n v="749.43960000000004"/>
    <n v="788.71510000000001"/>
    <n v="388.85250000000002"/>
    <s v="4.48"/>
    <n v="-0.64259999999999984"/>
  </r>
  <r>
    <s v="PAPILION BABY WET CHAMOMILE W 100 BAG"/>
    <s v=" ArkPapers"/>
    <x v="6"/>
    <s v="BAGS"/>
    <s v="WITHOUT EXTRA PROTECTCARE INDICATION"/>
    <n v="100"/>
    <n v="9.9741999999999997"/>
    <n v="17.767600000000002"/>
    <n v="9.7081"/>
    <n v="530.94489999999996"/>
    <n v="921.25450000000001"/>
    <n v="442.90179999999998"/>
    <s v="78.14"/>
    <n v="-7.7934000000000019"/>
  </r>
  <r>
    <s v="PAPILION BABY WET GREEN APPLE W 100 BAG"/>
    <s v=" ArkPapers"/>
    <x v="6"/>
    <s v="BAGS"/>
    <s v="WITHOUT EXTRA PROTECTCARE INDICATION"/>
    <n v="100"/>
    <n v="15.1808"/>
    <n v="9.7044999999999995"/>
    <n v="2.6509999999999998"/>
    <n v="814.55730000000005"/>
    <n v="531.53909999999996"/>
    <n v="144.98150000000001"/>
    <s v="-36.07"/>
    <n v="5.4763000000000002"/>
  </r>
  <r>
    <s v="PAPILION BABYWET CHARM.LAVENDER W 100BAG"/>
    <s v=" ArkPapers"/>
    <x v="6"/>
    <s v="BAGS"/>
    <s v="PH BALANCED"/>
    <n v="100"/>
    <n v="18.2471"/>
    <n v="19.903099999999998"/>
    <n v="8.7614000000000001"/>
    <n v="989.38980000000004"/>
    <n v="1044.1582000000001"/>
    <n v="387.44209999999998"/>
    <s v="9.08"/>
    <n v="-1.6559999999999988"/>
  </r>
  <r>
    <s v="PAPILION BABYWET CHARMINGROSE W 100 BAG"/>
    <s v=" ArkPapers"/>
    <x v="6"/>
    <s v="BAGS"/>
    <s v="PH BALANCED"/>
    <n v="100"/>
    <n v="13.7898"/>
    <n v="10.6778"/>
    <n v="5.2233000000000001"/>
    <n v="726.86360000000002"/>
    <n v="563.28449999999998"/>
    <n v="268.45999999999998"/>
    <s v="-22.57"/>
    <n v="3.1120000000000001"/>
  </r>
  <r>
    <s v="PAPILION JUMBO WET PH5.5 W 120 BAG KAPAK"/>
    <s v=" ArkPapers"/>
    <x v="6"/>
    <s v="BAGS"/>
    <s v="PH BALANCED"/>
    <n v="120"/>
    <n v="29.590800000000002"/>
    <n v="20.845300000000002"/>
    <n v="11.449400000000001"/>
    <n v="1741.4848"/>
    <n v="1127.5655999999999"/>
    <n v="585.96109999999999"/>
    <s v="-29.55"/>
    <n v="8.7454999999999998"/>
  </r>
  <r>
    <s v="PAPILION BABY WET SENSITIVE W 72 BAG"/>
    <s v=" ArkPapers"/>
    <x v="6"/>
    <s v="BAGS"/>
    <s v="SENSITIVE"/>
    <n v="72"/>
    <n v="0.72840000000000005"/>
    <n v="0"/>
    <n v="0"/>
    <n v="51.0182"/>
    <n v="0"/>
    <n v="0"/>
    <s v="0.00"/>
    <n v="0.72840000000000005"/>
  </r>
  <r>
    <s v="PAPILION YELLOW LILY W 90 BAG KAPAK"/>
    <s v=" ArkPapers"/>
    <x v="6"/>
    <s v="BAGS"/>
    <s v="ALCOHOL FREE"/>
    <n v="90"/>
    <n v="2.0455000000000001"/>
    <n v="0.30070000000000002"/>
    <n v="9.6000000000000002E-2"/>
    <n v="81.869600000000005"/>
    <n v="11.870100000000001"/>
    <n v="3.7711999999999999"/>
    <s v="-85.30"/>
    <n v="1.7448000000000001"/>
  </r>
  <r>
    <s v="PINE ALOE VERA KREMALI W 120 BAG KAPAK"/>
    <s v=" Arkana PaperCraft"/>
    <x v="7"/>
    <s v="BAGS"/>
    <s v="WITHOUT EXTRA PROTECTCARE INDICATION"/>
    <n v="120"/>
    <n v="1.0717000000000001"/>
    <n v="1.6845000000000001"/>
    <n v="0.2092"/>
    <n v="53.428199999999997"/>
    <n v="83.401399999999995"/>
    <n v="9.5612999999999992"/>
    <s v="57.18"/>
    <n v="-0.61280000000000001"/>
  </r>
  <r>
    <s v="PINE ALOE VERA KREMALI W 72 BAG KAPAK"/>
    <s v=" Arkana PaperCraft"/>
    <x v="7"/>
    <s v="BAGS"/>
    <s v="WITHOUT EXTRA PROTECTCARE INDICATION"/>
    <n v="72"/>
    <n v="0.46760000000000002"/>
    <n v="0.37340000000000001"/>
    <n v="0.47289999999999999"/>
    <n v="17.929200000000002"/>
    <n v="13.441700000000001"/>
    <n v="18.149699999999999"/>
    <s v="-20.15"/>
    <n v="9.4200000000000006E-2"/>
  </r>
  <r>
    <s v="TROMPY 20 BAG"/>
    <s v=" Fragrantium S.A."/>
    <x v="8"/>
    <s v="BAGS"/>
    <s v="WITHOUT EXTRA PROTECTCARE INDICATION"/>
    <n v="20"/>
    <n v="4.4499999999999998E-2"/>
    <n v="6.2E-2"/>
    <n v="0"/>
    <n v="0.36759999999999998"/>
    <n v="0.48380000000000001"/>
    <n v="0"/>
    <s v="39.33"/>
    <n v="-1.7500000000000002E-2"/>
  </r>
  <r>
    <s v="HAPPY FRESH BABY W 72 BAG KAPAK"/>
    <s v=" ArsenicChem"/>
    <x v="9"/>
    <s v="BAGS"/>
    <s v="WITHOUT EXTRA PROTECTCARE INDICATION"/>
    <n v="72"/>
    <n v="3.3401000000000001"/>
    <n v="5.1974"/>
    <n v="3.7094999999999998"/>
    <n v="168.65979999999999"/>
    <n v="278.62639999999999"/>
    <n v="222.0746"/>
    <s v="55.61"/>
    <n v="-1.8573"/>
  </r>
  <r>
    <s v="ULTRA COMPACT ANGELS ALC.FREE W 120 BAG"/>
    <s v=" ArsenicChem"/>
    <x v="10"/>
    <s v="BAGS"/>
    <s v="ALCOHOL FREE"/>
    <n v="120"/>
    <n v="1.2582"/>
    <n v="4.4390999999999998"/>
    <n v="0.70909999999999995"/>
    <n v="67.526600000000002"/>
    <n v="226.15649999999999"/>
    <n v="33.759099999999997"/>
    <s v="252.81"/>
    <n v="-3.1808999999999998"/>
  </r>
  <r>
    <s v="ULTRA COMPACT MOMO CREAMY W 120 BAG"/>
    <s v=" ArsenicChem"/>
    <x v="10"/>
    <s v="BAGS"/>
    <s v="ALCOHOL FREE"/>
    <n v="120"/>
    <n v="4.5986000000000002"/>
    <n v="6.1303000000000001"/>
    <n v="2.8555999999999999"/>
    <n v="228.69929999999999"/>
    <n v="310.51369999999997"/>
    <n v="123.6022"/>
    <s v="33.31"/>
    <n v="-1.5316999999999998"/>
  </r>
  <r>
    <s v="ULTRA COMPACT ANGELS ALC.FREE W 72 BAG"/>
    <s v=" ArsenicChem"/>
    <x v="10"/>
    <s v="BAGS"/>
    <s v="ALCOHOL FREE"/>
    <n v="72"/>
    <n v="0.94640000000000002"/>
    <n v="1.6005"/>
    <n v="1.0179"/>
    <n v="54.868499999999997"/>
    <n v="87.027500000000003"/>
    <n v="38.080399999999997"/>
    <s v="69.11"/>
    <n v="-0.65410000000000001"/>
  </r>
  <r>
    <s v="ULTRACOMPACT BABY PH5.5 ALC.FREE W 72 BA"/>
    <s v=" ArsenicChem"/>
    <x v="10"/>
    <s v="BAGS"/>
    <s v="PH BALANCED"/>
    <n v="72"/>
    <n v="1.8199000000000001"/>
    <n v="0.76910000000000001"/>
    <n v="0.73480000000000001"/>
    <n v="83.522300000000001"/>
    <n v="35.127499999999998"/>
    <n v="37.258200000000002"/>
    <s v="-57.74"/>
    <n v="1.0508000000000002"/>
  </r>
  <r>
    <s v="KANZ NATURAL SENS.SKIN ALC.FREE W120 BAG"/>
    <s v=" Creativa Worldwide"/>
    <x v="11"/>
    <s v="BAGS"/>
    <s v="ALCOHOL FREE"/>
    <n v="120"/>
    <n v="0"/>
    <n v="10.5616"/>
    <n v="42.6479"/>
    <n v="0"/>
    <n v="483.39569999999998"/>
    <n v="1689.356"/>
    <s v="0.00"/>
    <n v="-10.5616"/>
  </r>
  <r>
    <s v="KANZ EXTRA SOFT ALC.FREE W 50 BAG"/>
    <s v=" Creativa Worldwide"/>
    <x v="11"/>
    <s v="BAGS"/>
    <s v="ALCOHOL FREE"/>
    <n v="50"/>
    <n v="0"/>
    <n v="2.0855999999999999"/>
    <n v="2.5316000000000001"/>
    <n v="0"/>
    <n v="61.262700000000002"/>
    <n v="71.165300000000002"/>
    <s v="0.00"/>
    <n v="-2.0855999999999999"/>
  </r>
  <r>
    <s v="KANZ ULTRA SOFT ALC.FREE W 72 BAG"/>
    <s v=" Creativa Worldwide"/>
    <x v="11"/>
    <s v="BAGS"/>
    <s v="ALCOHOL FREE"/>
    <n v="72"/>
    <n v="0"/>
    <n v="0.54479999999999995"/>
    <n v="7.6315999999999997"/>
    <n v="0"/>
    <n v="20.880700000000001"/>
    <n v="330.70479999999998"/>
    <s v="0.00"/>
    <n v="-0.54479999999999995"/>
  </r>
  <r>
    <s v="CHICCO SALVIETTINE SENSITIVE W 60 BAG"/>
    <s v=" CultureSana"/>
    <x v="12"/>
    <s v="BAGS"/>
    <s v="SENSITIVE"/>
    <n v="60"/>
    <n v="0"/>
    <n v="1.5012000000000001"/>
    <n v="0.18310000000000001"/>
    <n v="0"/>
    <n v="36.194499999999998"/>
    <n v="4.9927999999999999"/>
    <s v="0.00"/>
    <n v="-1.5012000000000001"/>
  </r>
  <r>
    <s v="CHICCO SALVIETTINE PARABENI W 72 BAG"/>
    <s v=" CultureSana"/>
    <x v="12"/>
    <s v="BAGS"/>
    <s v="ALCOHOL FREE"/>
    <n v="72"/>
    <n v="3.1665000000000001"/>
    <n v="0.6875"/>
    <n v="0.27989999999999998"/>
    <n v="65.203199999999995"/>
    <n v="14.1759"/>
    <n v="5.1737000000000002"/>
    <s v="-78.29"/>
    <n v="2.4790000000000001"/>
  </r>
  <r>
    <s v="UNI COMFORT LOTION P H5.5 72 BAG"/>
    <s v=" Ataman Industries"/>
    <x v="13"/>
    <s v="BAGS"/>
    <s v="PH BALANCED"/>
    <n v="72"/>
    <n v="0"/>
    <n v="0"/>
    <n v="5.57E-2"/>
    <n v="0"/>
    <n v="0"/>
    <n v="1.7425999999999999"/>
    <s v="0.00"/>
    <n v="0"/>
  </r>
  <r>
    <s v="EVENT BABY CALENDULA 140 BAG KAPAK"/>
    <s v=" AxisOn Group"/>
    <x v="14"/>
    <s v="BAGS"/>
    <s v="PH BALANCED"/>
    <n v="140"/>
    <n v="209.29769999999999"/>
    <n v="236.50559999999999"/>
    <n v="198.2927"/>
    <n v="7336.5478999999996"/>
    <n v="8103.1085000000003"/>
    <n v="7048.5825999999997"/>
    <s v="13.00"/>
    <n v="-27.207899999999995"/>
  </r>
  <r>
    <s v="EVENT BABY CALENDULA 140 BAG KAPAK+WIP"/>
    <s v=" AxisOn Group"/>
    <x v="14"/>
    <s v="BAGS"/>
    <s v="PH BALANCED"/>
    <n v="140"/>
    <n v="2.7799999999999998E-2"/>
    <n v="4.5999999999999999E-3"/>
    <n v="0"/>
    <n v="1.2"/>
    <n v="0.2"/>
    <n v="0"/>
    <s v="-83.45"/>
    <n v="2.3199999999999998E-2"/>
  </r>
  <r>
    <s v="EVENT BABY MOIST.CHAMOMILE 20 W BAG"/>
    <s v=" AxisOn Group"/>
    <x v="14"/>
    <s v="BAGS"/>
    <s v="PH BALANCED"/>
    <n v="20"/>
    <n v="27.777100000000001"/>
    <n v="19.717700000000001"/>
    <n v="14.4848"/>
    <n v="429.91730000000001"/>
    <n v="309.96710000000002"/>
    <n v="229.3313"/>
    <s v="-29.01"/>
    <n v="8.0594000000000001"/>
  </r>
  <r>
    <s v="EVENT BABY SENSIT. ALOE VERA 20 BAG"/>
    <s v=" AxisOn Group"/>
    <x v="14"/>
    <s v="BAGS"/>
    <s v="SENSITIVE"/>
    <n v="20"/>
    <n v="40.515599999999999"/>
    <n v="34.999099999999999"/>
    <n v="5.7746000000000004"/>
    <n v="630.63189999999997"/>
    <n v="558.36739999999998"/>
    <n v="90.998999999999995"/>
    <s v="-13.62"/>
    <n v="5.5165000000000006"/>
  </r>
  <r>
    <s v="EVENT BABY CALENDULA W 25 BAG"/>
    <s v=" AxisOn Group"/>
    <x v="14"/>
    <s v="BAGS"/>
    <s v="PH BALANCED"/>
    <n v="25"/>
    <n v="61.397500000000001"/>
    <n v="45.295999999999999"/>
    <n v="19.337599999999998"/>
    <n v="1027.2618"/>
    <n v="758.06629999999996"/>
    <n v="328.18349999999998"/>
    <s v="-26.23"/>
    <n v="16.101500000000001"/>
  </r>
  <r>
    <s v="EVENT BABY CALENDULA W 25 BAG+WIP 140"/>
    <s v=" AxisOn Group"/>
    <x v="14"/>
    <s v="BAGS"/>
    <s v="PH BALANCED"/>
    <n v="25"/>
    <n v="1.03E-2"/>
    <n v="1.6999999999999999E-3"/>
    <n v="0"/>
    <n v="0.21429999999999999"/>
    <n v="3.5700000000000003E-2"/>
    <n v="0"/>
    <s v="-83.50"/>
    <n v="8.6E-3"/>
  </r>
  <r>
    <s v="EVENT BABY CALENDULA HYPOALL.W 30 BAG"/>
    <s v=" AxisOn Group"/>
    <x v="14"/>
    <s v="BAGS"/>
    <s v="HYPOALLERGENIC"/>
    <n v="30"/>
    <n v="0"/>
    <n v="0"/>
    <n v="8.3928999999999991"/>
    <n v="0"/>
    <n v="0"/>
    <n v="185.37119999999999"/>
    <s v="0.00"/>
    <n v="0"/>
  </r>
  <r>
    <s v="EVENT BABY HYPOAL.CALENDULA 64 W BAG"/>
    <s v=" AxisOn Group"/>
    <x v="14"/>
    <s v="BAGS"/>
    <s v="HYPOALLERGENIC"/>
    <n v="64"/>
    <n v="11.2281"/>
    <n v="7.5716999999999999"/>
    <n v="1.9255"/>
    <n v="325.11810000000003"/>
    <n v="236.1233"/>
    <n v="61.869799999999998"/>
    <s v="-32.56"/>
    <n v="3.6563999999999997"/>
  </r>
  <r>
    <s v="EVENT BABY HYPOALL.CHAMOMILE 72 W BAG"/>
    <s v=" AxisOn Group"/>
    <x v="14"/>
    <s v="BAGS"/>
    <s v="HYPOALLERGENIC"/>
    <n v="72"/>
    <n v="56.268599999999999"/>
    <n v="22.377800000000001"/>
    <n v="12.435499999999999"/>
    <n v="1799.2518"/>
    <n v="721.99059999999997"/>
    <n v="385.45190000000002"/>
    <s v="-60.23"/>
    <n v="33.890799999999999"/>
  </r>
  <r>
    <s v="EVENT BABY MOIST.CHAMOMILE 72 W BAG"/>
    <s v=" AxisOn Group"/>
    <x v="14"/>
    <s v="BAGS"/>
    <s v="WITHOUT EXTRA PROTECTCARE INDICATION"/>
    <n v="72"/>
    <n v="0.64159999999999995"/>
    <n v="0.34470000000000001"/>
    <n v="0"/>
    <n v="14.463900000000001"/>
    <n v="7.3648999999999996"/>
    <n v="0"/>
    <s v="-46.27"/>
    <n v="0.29689999999999994"/>
  </r>
  <r>
    <s v="EVENT BABY SENSIT. ALOE VERA 72 W BAG"/>
    <s v=" AxisOn Group"/>
    <x v="14"/>
    <s v="BAGS"/>
    <s v="SENSITIVE"/>
    <n v="72"/>
    <n v="64.480099999999993"/>
    <n v="81.182500000000005"/>
    <n v="15.496600000000001"/>
    <n v="2159.5493999999999"/>
    <n v="2486.1275000000001"/>
    <n v="493.73469999999998"/>
    <s v="25.90"/>
    <n v="-16.702400000000011"/>
  </r>
  <r>
    <s v="TEX BABY PH5.5 ALC.FREE W 100 BAG PURPLE"/>
    <s v=" PureAim Cleaners"/>
    <x v="15"/>
    <s v="BAGS"/>
    <s v="PH BALANCED"/>
    <n v="100"/>
    <n v="0"/>
    <n v="0"/>
    <n v="0.24490000000000001"/>
    <n v="0"/>
    <n v="0"/>
    <n v="9.7979000000000003"/>
    <s v="0.00"/>
    <n v="0"/>
  </r>
  <r>
    <s v="TEX BABY PH5.5 ALC.FREE W 100 BAG YELLOW"/>
    <s v=" PureAim Cleaners"/>
    <x v="15"/>
    <s v="BAGS"/>
    <s v="PH BALANCED"/>
    <n v="100"/>
    <n v="0.22359999999999999"/>
    <n v="1.0136000000000001"/>
    <n v="0.81230000000000002"/>
    <n v="12.2155"/>
    <n v="49.151600000000002"/>
    <n v="34.919499999999999"/>
    <s v="353.31"/>
    <n v="-0.79"/>
  </r>
  <r>
    <s v="NIVEA BABY SOFT&amp;CREME 20 BAG"/>
    <s v=" AlpineMeadow"/>
    <x v="16"/>
    <s v="BAGS"/>
    <s v="WITHOUT EXTRA PROTECTCARE INDICATION"/>
    <n v="20"/>
    <n v="15.0191"/>
    <n v="17.616800000000001"/>
    <n v="13.700200000000001"/>
    <n v="121.4559"/>
    <n v="162.24"/>
    <n v="126.0534"/>
    <s v="17.30"/>
    <n v="-2.5977000000000015"/>
  </r>
  <r>
    <s v="NIVEA BABY TODDIES 2IN1 60 BAG"/>
    <s v=" AlpineMeadow"/>
    <x v="16"/>
    <s v="BAGS"/>
    <s v="WITHOUT EXTRA PROTECTCARE INDICATION"/>
    <n v="60"/>
    <n v="19.776399999999999"/>
    <n v="13.798299999999999"/>
    <n v="7.5656999999999996"/>
    <n v="281.97280000000001"/>
    <n v="222.7071"/>
    <n v="118.9547"/>
    <s v="-30.23"/>
    <n v="5.9780999999999995"/>
  </r>
  <r>
    <s v="NIVEA BABY FRESH&amp;PURE 63 BAG"/>
    <s v=" AlpineMeadow"/>
    <x v="16"/>
    <s v="BAGS"/>
    <s v="WITHOUT EXTRA PROTECTCARE INDICATION"/>
    <n v="63"/>
    <n v="41.314100000000003"/>
    <n v="32.422600000000003"/>
    <n v="18.6829"/>
    <n v="549.64080000000001"/>
    <n v="416.84789999999998"/>
    <n v="241.38910000000001"/>
    <s v="-21.52"/>
    <n v="8.8915000000000006"/>
  </r>
  <r>
    <s v="NIVEA BABY PURE&amp;SENSITIVE 63 W BAG"/>
    <s v=" AlpineMeadow"/>
    <x v="16"/>
    <s v="BAGS"/>
    <s v="ALCOHOL FREE"/>
    <n v="63"/>
    <n v="10.5054"/>
    <n v="0.496"/>
    <n v="0"/>
    <n v="168.06010000000001"/>
    <n v="9.3780000000000001"/>
    <n v="0"/>
    <s v="-95.28"/>
    <n v="10.009399999999999"/>
  </r>
  <r>
    <s v="NIVEA BABY SOFT&amp;CREME 63 BAG"/>
    <s v=" AlpineMeadow"/>
    <x v="16"/>
    <s v="BAGS"/>
    <s v="WITHOUT EXTRA PROTECTCARE INDICATION"/>
    <n v="63"/>
    <n v="26.694099999999999"/>
    <n v="16.9801"/>
    <n v="8.3484999999999996"/>
    <n v="362.30340000000001"/>
    <n v="234.6001"/>
    <n v="111.9991"/>
    <s v="-36.39"/>
    <n v="9.7139999999999986"/>
  </r>
  <r>
    <s v="SMILE ALOE&amp;CAMOMILE PH5.5 60 BAG"/>
    <s v=" BioRealm Corp"/>
    <x v="17"/>
    <s v="BAGS"/>
    <s v="PH BALANCED"/>
    <n v="60"/>
    <n v="0.52039999999999997"/>
    <n v="1.6072"/>
    <n v="0.16420000000000001"/>
    <n v="10.5198"/>
    <n v="34.4998"/>
    <n v="3.1461000000000001"/>
    <s v="208.84"/>
    <n v="-1.0868"/>
  </r>
  <r>
    <s v="BABYCARE WITHCREAM W 80/8FREE BAG KAPAK"/>
    <s v=" TradeKing Cengiz"/>
    <x v="18"/>
    <s v="BAGS"/>
    <s v="PH BALANCED"/>
    <n v="72"/>
    <n v="0"/>
    <n v="3.7900000000000003E-2"/>
    <n v="6.93E-2"/>
    <n v="0"/>
    <n v="2.3294000000000001"/>
    <n v="4.2670000000000003"/>
    <s v="0.00"/>
    <n v="-3.7900000000000003E-2"/>
  </r>
  <r>
    <s v="ClearSight BABY ALOE VERA PH5.5 W 25 BAG"/>
    <s v=" ClearSight"/>
    <x v="19"/>
    <s v="BAGS"/>
    <s v="PH BALANCED"/>
    <n v="25"/>
    <n v="0"/>
    <n v="8.6E-3"/>
    <n v="13.3878"/>
    <n v="0"/>
    <n v="0.19639999999999999"/>
    <n v="341.02409999999998"/>
    <s v="0.00"/>
    <n v="-8.6E-3"/>
  </r>
  <r>
    <s v="ClearSight BABY CALENDULA PH5.5 W 25 BAG"/>
    <s v=" ClearSight"/>
    <x v="19"/>
    <s v="BAGS"/>
    <s v="PH BALANCED"/>
    <n v="25"/>
    <n v="0"/>
    <n v="4.8898999999999999"/>
    <n v="10.664400000000001"/>
    <n v="0"/>
    <n v="145.9169"/>
    <n v="284.60649999999998"/>
    <s v="0.00"/>
    <n v="-4.8898999999999999"/>
  </r>
  <r>
    <s v="ClearSight BABY CHAMOMILE PH5.5 W 25 BAG"/>
    <s v=" ClearSight"/>
    <x v="19"/>
    <s v="BAGS"/>
    <s v="PH BALANCED"/>
    <n v="25"/>
    <n v="0"/>
    <n v="5.8544999999999998"/>
    <n v="9.0564"/>
    <n v="0"/>
    <n v="166.38579999999999"/>
    <n v="238.54349999999999"/>
    <s v="0.00"/>
    <n v="-5.8544999999999998"/>
  </r>
  <r>
    <s v="ClearSight BABY CHAMOMILE PH5.5 W 66 BAG"/>
    <s v=" ClearSight"/>
    <x v="19"/>
    <s v="BAGS"/>
    <s v="PH BALANCED"/>
    <n v="66"/>
    <n v="0"/>
    <n v="0"/>
    <n v="0.9879"/>
    <n v="0"/>
    <n v="0"/>
    <n v="34.929000000000002"/>
    <s v="0.00"/>
    <n v="0"/>
  </r>
  <r>
    <s v="ClearSight BABY ALOE VERA PH5.5 W 80 BAG"/>
    <s v=" ClearSight"/>
    <x v="19"/>
    <s v="BAGS"/>
    <s v="PH BALANCED"/>
    <n v="80"/>
    <n v="15.267200000000001"/>
    <n v="16.318300000000001"/>
    <n v="16.784099999999999"/>
    <n v="431.15870000000001"/>
    <n v="473.67329999999998"/>
    <n v="505.80540000000002"/>
    <s v="6.88"/>
    <n v="-1.0510999999999999"/>
  </r>
  <r>
    <s v="ClearSight BABY CALENDULA PH5.5 W 80 BAG"/>
    <s v=" ClearSight"/>
    <x v="19"/>
    <s v="BAGS"/>
    <s v="PH BALANCED"/>
    <n v="80"/>
    <n v="9.5295000000000005"/>
    <n v="13.395300000000001"/>
    <n v="18.126999999999999"/>
    <n v="274.45499999999998"/>
    <n v="396.72109999999998"/>
    <n v="559.59109999999998"/>
    <s v="40.57"/>
    <n v="-3.8658000000000001"/>
  </r>
  <r>
    <s v="ClearSight BABY CHAMOMILE PH5.5 W 80 BAG"/>
    <s v=" ClearSight"/>
    <x v="19"/>
    <s v="BAGS"/>
    <s v="PH BALANCED"/>
    <n v="80"/>
    <n v="11.2293"/>
    <n v="14.7631"/>
    <n v="16.131900000000002"/>
    <n v="318.93810000000002"/>
    <n v="440.8152"/>
    <n v="474.58569999999997"/>
    <s v="31.47"/>
    <n v="-3.5337999999999994"/>
  </r>
  <r>
    <s v="OKIDOKI  FreshClean CAMOMILLA 60 BAG"/>
    <s v=" CodeInt B.V."/>
    <x v="20"/>
    <s v="BAGS"/>
    <s v="WITHOUT EXTRA PROTECTCARE INDICATION"/>
    <n v="60"/>
    <n v="1.03E-2"/>
    <n v="0"/>
    <n v="0"/>
    <n v="0.3876"/>
    <n v="0"/>
    <n v="0"/>
    <s v="0.00"/>
    <n v="1.03E-2"/>
  </r>
  <r>
    <s v="BABY WISH VITE&amp;PROVITAMINB5 W 120 BAG"/>
    <s v=" ChillClean"/>
    <x v="21"/>
    <s v="BAGS"/>
    <s v="WITHOUT EXTRA PROTECTCARE INDICATION"/>
    <n v="120"/>
    <n v="0"/>
    <n v="1.8077000000000001"/>
    <n v="54.250700000000002"/>
    <n v="0"/>
    <n v="127.6024"/>
    <n v="2956.24"/>
    <s v="0.00"/>
    <n v="-1.8077000000000001"/>
  </r>
  <r>
    <s v="COSMI BABY ARGAN W 20 BAG"/>
    <s v=" Cosmopolitan Italy"/>
    <x v="22"/>
    <s v="BAGS"/>
    <s v="WITHOUT EXTRA PROTECTCARE INDICATION"/>
    <n v="20"/>
    <n v="0"/>
    <n v="0.1202"/>
    <n v="0"/>
    <n v="0"/>
    <n v="2.4085999999999999"/>
    <n v="0"/>
    <s v="0.00"/>
    <n v="-0.1202"/>
  </r>
  <r>
    <s v="AQUELLA BABY AMUR WITH CREAM W 120 BAG"/>
    <s v=" CottonUnion"/>
    <x v="23"/>
    <s v="BAGS"/>
    <s v="PH BALANCED"/>
    <n v="120"/>
    <n v="28.356999999999999"/>
    <n v="20.580200000000001"/>
    <n v="0.78890000000000005"/>
    <n v="1646.7402"/>
    <n v="1088.8000999999999"/>
    <n v="38.968699999999998"/>
    <s v="-27.42"/>
    <n v="7.7767999999999979"/>
  </r>
  <r>
    <s v="AQUELLA BABY ULTRA SOFT CREAM W 120 BAG"/>
    <s v=" CottonUnion"/>
    <x v="23"/>
    <s v="BAGS"/>
    <s v="ALCOHOL FREE"/>
    <n v="120"/>
    <n v="12.003299999999999"/>
    <n v="12.0252"/>
    <n v="1.8045"/>
    <n v="643.41989999999998"/>
    <n v="689.18370000000004"/>
    <n v="98.837400000000002"/>
    <s v="0.18"/>
    <n v="-2.1900000000000475E-2"/>
  </r>
  <r>
    <s v="AQUELLA TROPIC ALC.FREE W 120 BAG"/>
    <s v=" CottonUnion"/>
    <x v="23"/>
    <s v="BAGS"/>
    <s v="ALCOHOL FREE"/>
    <n v="120"/>
    <n v="0.11600000000000001"/>
    <n v="0"/>
    <n v="0"/>
    <n v="6.96"/>
    <n v="0"/>
    <n v="0"/>
    <s v="0.00"/>
    <n v="0.11600000000000001"/>
  </r>
  <r>
    <s v="AQUELLA KIDS BABY ALOEVERA&amp;CREAM W 60BAG"/>
    <s v=" CottonUnion"/>
    <x v="23"/>
    <s v="BAGS"/>
    <s v="PH BALANCED"/>
    <n v="60"/>
    <n v="4.6429999999999998"/>
    <n v="2.3708"/>
    <n v="3.8805999999999998"/>
    <n v="208.76240000000001"/>
    <n v="99.124899999999997"/>
    <n v="163.75460000000001"/>
    <s v="-48.94"/>
    <n v="2.2721999999999998"/>
  </r>
  <r>
    <s v="AQUELLA BABY VIT E&amp;PRO B5 W 72 BAG"/>
    <s v=" CottonUnion"/>
    <x v="23"/>
    <s v="BAGS"/>
    <s v="ALCOHOL FREE"/>
    <n v="72"/>
    <n v="8.5853000000000002"/>
    <n v="4.2140000000000004"/>
    <n v="0.26250000000000001"/>
    <n v="402.53930000000003"/>
    <n v="207.43709999999999"/>
    <n v="13.0296"/>
    <s v="-50.92"/>
    <n v="4.3712999999999997"/>
  </r>
  <r>
    <s v="AQUELLA KIDS BABY PH5.5 W 72 BAG"/>
    <s v=" CottonUnion"/>
    <x v="23"/>
    <s v="BAGS"/>
    <s v="PH BALANCED"/>
    <n v="72"/>
    <n v="0.83140000000000003"/>
    <n v="1.5299999999999999E-2"/>
    <n v="0"/>
    <n v="39.196399999999997"/>
    <n v="0.64800000000000002"/>
    <n v="0"/>
    <s v="-98.16"/>
    <n v="0.81610000000000005"/>
  </r>
  <r>
    <s v="AQUELLA BABY VIT E&amp;PRO B5 W 90 BAG KAPAK"/>
    <s v=" CottonUnion"/>
    <x v="23"/>
    <s v="BAGS"/>
    <s v="PH BALANCED"/>
    <n v="90"/>
    <n v="2.9493999999999998"/>
    <n v="0.27079999999999999"/>
    <n v="0"/>
    <n v="169.64840000000001"/>
    <n v="12.904400000000001"/>
    <n v="0"/>
    <s v="-90.82"/>
    <n v="2.6785999999999999"/>
  </r>
  <r>
    <s v="AURA ULTRA COMF. COTTON HYPOALL. W 100 B"/>
    <s v=" CottonUnion"/>
    <x v="24"/>
    <s v="BAGS"/>
    <s v="HYPOALLERGENIC"/>
    <n v="100"/>
    <n v="4.0140000000000002"/>
    <n v="0"/>
    <n v="0"/>
    <n v="230.286"/>
    <n v="0"/>
    <n v="0"/>
    <s v="0.00"/>
    <n v="4.0140000000000002"/>
  </r>
  <r>
    <s v="AURA ULTRA COMFORT COTTON W 63 BAG"/>
    <s v=" CottonUnion"/>
    <x v="24"/>
    <s v="BAGS"/>
    <s v="WITHOUT EXTRA PROTECTCARE INDICATION"/>
    <n v="63"/>
    <n v="4.0500000000000001E-2"/>
    <n v="0"/>
    <n v="0"/>
    <n v="2.8330000000000002"/>
    <n v="0"/>
    <n v="0"/>
    <s v="0.00"/>
    <n v="4.0500000000000001E-2"/>
  </r>
  <r>
    <s v="COTTON BABY UL.SOFT CREAM ALC.FREE W 120"/>
    <s v=" CottonUnion"/>
    <x v="25"/>
    <s v="BAGS"/>
    <s v="ALCOHOL FREE"/>
    <n v="120"/>
    <n v="0.76770000000000005"/>
    <n v="0"/>
    <n v="0"/>
    <n v="46.441400000000002"/>
    <n v="0"/>
    <n v="0"/>
    <s v="0.00"/>
    <n v="0.76770000000000005"/>
  </r>
  <r>
    <s v="COTTON BABY PH5.5 AL.FREE W 90 BAG KAPAK"/>
    <s v=" CottonUnion"/>
    <x v="25"/>
    <s v="BAGS"/>
    <s v="PH BALANCED"/>
    <n v="90"/>
    <n v="0.86809999999999998"/>
    <n v="0"/>
    <n v="0"/>
    <n v="43.337600000000002"/>
    <n v="0"/>
    <n v="0"/>
    <s v="0.00"/>
    <n v="0.86809999999999998"/>
  </r>
  <r>
    <s v="MIMI NICE BABY PH5.5 W 15 BAG"/>
    <s v=" CottonUnion"/>
    <x v="26"/>
    <s v="BAGS"/>
    <s v="PH BALANCED"/>
    <n v="15"/>
    <n v="9.5548999999999999"/>
    <n v="16.797000000000001"/>
    <n v="14.8012"/>
    <n v="338.9522"/>
    <n v="643.8528"/>
    <n v="454.05590000000001"/>
    <s v="75.79"/>
    <n v="-7.2421000000000006"/>
  </r>
  <r>
    <s v="MY COMFORT BABY ANGEL PH5.5 W 120 BAG"/>
    <s v=" CottonUnion"/>
    <x v="27"/>
    <s v="BAGS"/>
    <s v="PH BALANCED"/>
    <n v="120"/>
    <n v="21.0763"/>
    <n v="7.9172000000000002"/>
    <n v="0.35720000000000002"/>
    <n v="1178.5386000000001"/>
    <n v="421.82799999999997"/>
    <n v="19.481100000000001"/>
    <s v="-62.44"/>
    <n v="13.159099999999999"/>
  </r>
  <r>
    <s v="MY COMFORT BABY ARGAN ALK.FREE W 120 BAG"/>
    <s v=" CottonUnion"/>
    <x v="27"/>
    <s v="BAGS"/>
    <s v="ALCOHOL FREE"/>
    <n v="120"/>
    <n v="59.8855"/>
    <n v="18.673500000000001"/>
    <n v="4.4382000000000001"/>
    <n v="3588.4739"/>
    <n v="1054.2443000000001"/>
    <n v="241.28020000000001"/>
    <s v="-68.82"/>
    <n v="41.212000000000003"/>
  </r>
  <r>
    <s v="NICEBABY PROVITB5&amp;VITE PH5.5 W 120 BAG"/>
    <s v=" CottonUnion"/>
    <x v="28"/>
    <s v="BAGS"/>
    <s v="PH BALANCED"/>
    <n v="120"/>
    <n v="37.596899999999998"/>
    <n v="28.031099999999999"/>
    <n v="1.2394000000000001"/>
    <n v="2231.0284000000001"/>
    <n v="1606.1090999999999"/>
    <n v="64.665899999999993"/>
    <s v="-25.44"/>
    <n v="9.5657999999999994"/>
  </r>
  <r>
    <s v="WINEX BABY PH5.5 W 72 BAG"/>
    <s v=" CottonUnion"/>
    <x v="29"/>
    <s v="BAGS"/>
    <s v="PH BALANCED"/>
    <n v="72"/>
    <n v="4.1798000000000002"/>
    <n v="0"/>
    <n v="0"/>
    <n v="212.80930000000001"/>
    <n v="0"/>
    <n v="0"/>
    <s v="0.00"/>
    <n v="4.1798000000000002"/>
  </r>
  <r>
    <s v="WINEX BABY PROVITB5&amp;VIT.F PH5.5 W 72 BAG"/>
    <s v=" CottonUnion"/>
    <x v="29"/>
    <s v="BAGS"/>
    <s v="PH BALANCED"/>
    <n v="72"/>
    <n v="16.9573"/>
    <n v="8.0383999999999993"/>
    <n v="4.7045000000000003"/>
    <n v="973.13670000000002"/>
    <n v="460.75880000000001"/>
    <n v="246.6643"/>
    <s v="-52.60"/>
    <n v="8.9189000000000007"/>
  </r>
  <r>
    <s v="PADDLERS SOFT&amp;CREAM PROVITB5&amp;VITE W 120"/>
    <s v=" EnkaHygiene"/>
    <x v="30"/>
    <s v="BAGS"/>
    <s v="ALCOHOL FREE"/>
    <n v="120"/>
    <n v="8.9794"/>
    <n v="0"/>
    <n v="0"/>
    <n v="618.46879999999999"/>
    <n v="0"/>
    <n v="0"/>
    <s v="0.00"/>
    <n v="8.9794"/>
  </r>
  <r>
    <s v="PURE BABY JUMBO PH5.5 W 120 BAG"/>
    <s v=" ErusHealth Products"/>
    <x v="31"/>
    <s v="BAGS"/>
    <s v="PH BALANCED"/>
    <n v="120"/>
    <n v="0"/>
    <n v="9.4999999999999998E-3"/>
    <n v="0"/>
    <n v="0"/>
    <n v="0.51649999999999996"/>
    <n v="0"/>
    <s v="0.00"/>
    <n v="-9.4999999999999998E-3"/>
  </r>
  <r>
    <s v="SLEEPY BABY SENSITIVE 110 W BAG KAPAK"/>
    <s v=" ErusHealth Products"/>
    <x v="32"/>
    <s v="BAGS"/>
    <s v="SENSITIVE"/>
    <n v="110"/>
    <n v="0.34189999999999998"/>
    <n v="0"/>
    <n v="0"/>
    <n v="17.095199999999998"/>
    <n v="0"/>
    <n v="0"/>
    <s v="0.00"/>
    <n v="0.34189999999999998"/>
  </r>
  <r>
    <s v="SLEEPY BABY APPLE AL.FREE W 120 BAG"/>
    <s v=" ErusHealth Products"/>
    <x v="32"/>
    <s v="BAGS"/>
    <s v="ALCOHOL FREE"/>
    <n v="120"/>
    <n v="0"/>
    <n v="36.513300000000001"/>
    <n v="9.9184000000000001"/>
    <n v="0"/>
    <n v="2225.7903999999999"/>
    <n v="665.84569999999997"/>
    <s v="0.00"/>
    <n v="-36.513300000000001"/>
  </r>
  <r>
    <s v="SLEEPY BABY LEMON AL.FREE W 120 BAG"/>
    <s v=" ErusHealth Products"/>
    <x v="32"/>
    <s v="BAGS"/>
    <s v="ALCOHOL FREE"/>
    <n v="120"/>
    <n v="0"/>
    <n v="28.314"/>
    <n v="9.1574000000000009"/>
    <n v="0"/>
    <n v="1712.6693"/>
    <n v="592.38390000000004"/>
    <s v="0.00"/>
    <n v="-28.314"/>
  </r>
  <r>
    <s v="SLEEPY BABY ORANGE AL.FREE W 120 BAG"/>
    <s v=" ErusHealth Products"/>
    <x v="32"/>
    <s v="BAGS"/>
    <s v="ALCOHOL FREE"/>
    <n v="120"/>
    <n v="0"/>
    <n v="24.999500000000001"/>
    <n v="5.0659999999999998"/>
    <n v="0"/>
    <n v="1534.4268"/>
    <n v="349.95659999999998"/>
    <s v="0.00"/>
    <n v="-24.999500000000001"/>
  </r>
  <r>
    <s v="SLEEPY BABY PH5.5 120 W BAG KAPAK"/>
    <s v=" ErusHealth Products"/>
    <x v="32"/>
    <s v="BAGS"/>
    <s v="PH BALANCED"/>
    <n v="120"/>
    <n v="25.1"/>
    <n v="61.22"/>
    <n v="8.9021000000000008"/>
    <n v="1136.2986000000001"/>
    <n v="3402.5661"/>
    <n v="613.3809"/>
    <s v="143.90"/>
    <n v="-36.119999999999997"/>
  </r>
  <r>
    <s v="SLEEPY STRAWBERRY BABY AL.FREE 120 W BAG"/>
    <s v=" ErusHealth Products"/>
    <x v="32"/>
    <s v="BAGS"/>
    <s v="ALCOHOL FREE"/>
    <n v="120"/>
    <n v="0"/>
    <n v="18.822399999999998"/>
    <n v="7.1738"/>
    <n v="0"/>
    <n v="1176.8929000000001"/>
    <n v="487.85019999999997"/>
    <s v="0.00"/>
    <n v="-18.822399999999998"/>
  </r>
  <r>
    <s v="SLEEPY BABY MIXED FRUIT PH5.5 15 W BAG"/>
    <s v=" ErusHealth Products"/>
    <x v="32"/>
    <s v="BAGS"/>
    <s v="PH BALANCED"/>
    <n v="15"/>
    <n v="1.24"/>
    <n v="2.9891000000000001"/>
    <n v="0.81240000000000001"/>
    <n v="69.486800000000002"/>
    <n v="154.24979999999999"/>
    <n v="41.637500000000003"/>
    <s v="141.06"/>
    <n v="-1.7491000000000001"/>
  </r>
  <r>
    <s v="SLEEPY BABY PH5.5 70 W BAG"/>
    <s v=" ErusHealth Products"/>
    <x v="32"/>
    <s v="BAGS"/>
    <s v="PH BALANCED"/>
    <n v="70"/>
    <n v="1.1599999999999999"/>
    <n v="1.8923000000000001"/>
    <n v="0"/>
    <n v="44.862200000000001"/>
    <n v="87.694800000000001"/>
    <n v="0"/>
    <s v="63.13"/>
    <n v="-0.73230000000000017"/>
  </r>
  <r>
    <s v="SLEEPY  FreshClean 90 W BAG KAPAK"/>
    <s v=" ErusHealth Products"/>
    <x v="32"/>
    <s v="BAGS"/>
    <s v="WITHOUT EXTRA PROTECTCARE INDICATION"/>
    <n v="90"/>
    <n v="0"/>
    <n v="14.477"/>
    <n v="3.1046999999999998"/>
    <n v="0"/>
    <n v="762.29949999999997"/>
    <n v="149.91970000000001"/>
    <s v="0.00"/>
    <n v="-14.477"/>
  </r>
  <r>
    <s v="YESS BABY ALC.FREE W 120 BAG"/>
    <s v=" ErusHealth Products"/>
    <x v="33"/>
    <s v="BAGS"/>
    <s v="ALCOHOL FREE"/>
    <n v="120"/>
    <n v="0.25940000000000002"/>
    <n v="47.287300000000002"/>
    <n v="13.3363"/>
    <n v="15.5664"/>
    <n v="2338.1842000000001"/>
    <n v="671.9117"/>
    <s v="18129.49"/>
    <n v="-47.027900000000002"/>
  </r>
  <r>
    <s v="YESS BABY ALC.FREE W 15 BAG"/>
    <s v=" ErusHealth Products"/>
    <x v="33"/>
    <s v="BAGS"/>
    <s v="ALCOHOL FREE"/>
    <n v="15"/>
    <n v="0"/>
    <n v="5.6702000000000004"/>
    <n v="10.135199999999999"/>
    <n v="0"/>
    <n v="206.95869999999999"/>
    <n v="365.12360000000001"/>
    <s v="0.00"/>
    <n v="-5.6702000000000004"/>
  </r>
  <r>
    <s v="ELAN SENS.CREAM LOTION W 120 BAG ZELENI"/>
    <s v=" Esburg Health"/>
    <x v="34"/>
    <s v="BAGS"/>
    <s v="SENSITIVE"/>
    <n v="120"/>
    <n v="0"/>
    <n v="82.250100000000003"/>
    <n v="55.842500000000001"/>
    <n v="0"/>
    <n v="5284.8972000000003"/>
    <n v="3137.2123999999999"/>
    <s v="0.00"/>
    <n v="-82.250100000000003"/>
  </r>
  <r>
    <s v="LAN SENS.CREAM LOTION 120 BAG LILAVI"/>
    <s v=" Esburg Health"/>
    <x v="34"/>
    <s v="BAGS"/>
    <s v="SENSITIVE"/>
    <n v="120"/>
    <n v="0"/>
    <n v="88.414900000000003"/>
    <n v="45.6905"/>
    <n v="0"/>
    <n v="5662.4585999999999"/>
    <n v="2576.6464000000001"/>
    <s v="0.00"/>
    <n v="-88.414900000000003"/>
  </r>
  <r>
    <s v="SETABLU OAT EXTRACT PH5.5 W 72 BAG KAPAK"/>
    <s v=" SCProducts"/>
    <x v="35"/>
    <s v="BAGS"/>
    <s v="PH BALANCED"/>
    <n v="72"/>
    <n v="0.24010000000000001"/>
    <n v="0"/>
    <n v="0"/>
    <n v="10.8056"/>
    <n v="0"/>
    <n v="0"/>
    <s v="0.00"/>
    <n v="0.24010000000000001"/>
  </r>
  <r>
    <s v="LIBERO ALOE ALC.FREE W 20 BAG"/>
    <s v=" EssentialsCo"/>
    <x v="36"/>
    <s v="BAGS"/>
    <s v="ALCOHOL FREE"/>
    <n v="20"/>
    <n v="8.8999999999999999E-3"/>
    <n v="1.9E-3"/>
    <n v="0"/>
    <n v="0.1"/>
    <n v="0.02"/>
    <n v="0"/>
    <s v="-78.65"/>
    <n v="7.0000000000000001E-3"/>
  </r>
  <r>
    <s v="LIBERO ALOE&amp;CHAMOMILE W 20 BAG"/>
    <s v=" EssentialsCo"/>
    <x v="36"/>
    <s v="BAGS"/>
    <s v="ALCOHOL FREE"/>
    <n v="20"/>
    <n v="3.6436000000000002"/>
    <n v="0.20610000000000001"/>
    <n v="0.1404"/>
    <n v="40.526699999999998"/>
    <n v="2.1286999999999998"/>
    <n v="1.4401999999999999"/>
    <s v="-94.34"/>
    <n v="3.4375"/>
  </r>
  <r>
    <s v="LIBERO ALOE&amp;CHAMOMILE W 4X64 BAG"/>
    <s v=" EssentialsCo"/>
    <x v="36"/>
    <s v="BAGS"/>
    <s v="ALCOHOL FREE"/>
    <n v="64"/>
    <n v="4.9200000000000001E-2"/>
    <n v="1.14E-2"/>
    <n v="0"/>
    <n v="3.4851000000000001"/>
    <n v="0.25600000000000001"/>
    <n v="0"/>
    <s v="-76.83"/>
    <n v="3.78E-2"/>
  </r>
  <r>
    <s v="LIBERO ALOE&amp;CHAMOMILE W 64 BAG"/>
    <s v=" EssentialsCo"/>
    <x v="36"/>
    <s v="BAGS"/>
    <s v="ALCOHOL FREE"/>
    <n v="64"/>
    <n v="4.9882"/>
    <n v="0.97860000000000003"/>
    <n v="0"/>
    <n v="116.9594"/>
    <n v="26.678799999999999"/>
    <n v="0"/>
    <s v="-80.38"/>
    <n v="4.0095999999999998"/>
  </r>
  <r>
    <s v="EVY BABY SOFT CHAMOMILE ALC.FREE W50 BAG"/>
    <s v=" EveCraft"/>
    <x v="37"/>
    <s v="BAGS"/>
    <s v="ALCOHOL FREE"/>
    <n v="50"/>
    <n v="0"/>
    <n v="0"/>
    <n v="0.16420000000000001"/>
    <n v="0"/>
    <n v="0"/>
    <n v="5.0327000000000002"/>
    <s v="0.00"/>
    <n v="0"/>
  </r>
  <r>
    <s v="EVY BABY SOFT CHAMOMILE EXTRACT W 56 BAG"/>
    <s v=" EveCraft"/>
    <x v="37"/>
    <s v="BAGS"/>
    <s v="ALCOHOL FREE"/>
    <n v="56"/>
    <n v="2.3513000000000002"/>
    <n v="13.7189"/>
    <n v="5.1338999999999997"/>
    <n v="93.938999999999993"/>
    <n v="476.75330000000002"/>
    <n v="161.36660000000001"/>
    <s v="483.46"/>
    <n v="-11.367599999999999"/>
  </r>
  <r>
    <s v="EVY BABY CREAMY ALOE VERA MOIST W 60 BAG"/>
    <s v=" EveCraft"/>
    <x v="37"/>
    <s v="BAGS"/>
    <s v="ALCOHOL FREE"/>
    <n v="60"/>
    <n v="7.0484"/>
    <n v="24.545400000000001"/>
    <n v="7.2644000000000002"/>
    <n v="315.70249999999999"/>
    <n v="945.68759999999997"/>
    <n v="273.77960000000002"/>
    <s v="248.24"/>
    <n v="-17.497"/>
  </r>
  <r>
    <s v="EVY BABY SOFT CHAMOMILE EXTRACT W 60 BAG"/>
    <s v=" EveCraft"/>
    <x v="37"/>
    <s v="BAGS"/>
    <s v="ALCOHOL FREE"/>
    <n v="60"/>
    <n v="6.2529000000000003"/>
    <n v="0"/>
    <n v="0"/>
    <n v="300.22300000000001"/>
    <n v="0"/>
    <n v="0"/>
    <s v="0.00"/>
    <n v="6.2529000000000003"/>
  </r>
  <r>
    <s v="FEMOLE FRESH VITE PH5.5 W 72 BAG CHERVEN"/>
    <s v=" FemmeBeauty"/>
    <x v="38"/>
    <s v="BAGS"/>
    <s v="PH BALANCED"/>
    <n v="72"/>
    <n v="1.6668000000000001"/>
    <n v="3.7600000000000001E-2"/>
    <n v="0"/>
    <n v="75.837299999999999"/>
    <n v="1.6555"/>
    <n v="0"/>
    <s v="-97.74"/>
    <n v="1.6292"/>
  </r>
  <r>
    <s v="FEMOLE FRESHBABY VITE PH5.5 W 72 BAG SIN"/>
    <s v=" FemmeBeauty"/>
    <x v="38"/>
    <s v="BAGS"/>
    <s v="PH BALANCED"/>
    <n v="72"/>
    <n v="7.5975000000000001"/>
    <n v="0.1353"/>
    <n v="3.0000000000000001E-3"/>
    <n v="283.12259999999998"/>
    <n v="3.3016999999999999"/>
    <n v="7.1999999999999995E-2"/>
    <s v="-98.22"/>
    <n v="7.4622000000000002"/>
  </r>
  <r>
    <s v="BERFINY CLASSIC BABY W 72 BAG"/>
    <s v=" Fulya Beauty"/>
    <x v="39"/>
    <s v="BAGS"/>
    <s v="ALCOHOL FREE"/>
    <n v="72"/>
    <n v="2.5741999999999998"/>
    <n v="0.57930000000000004"/>
    <n v="9.0300000000000005E-2"/>
    <n v="138.52269999999999"/>
    <n v="28.2058"/>
    <n v="3.9451999999999998"/>
    <s v="-77.50"/>
    <n v="1.9948999999999999"/>
  </r>
  <r>
    <s v="BERFINY EXTRA BABY W 72 BAG"/>
    <s v=" Fulya Beauty"/>
    <x v="39"/>
    <s v="BAGS"/>
    <s v="WITHOUT EXTRA PROTECTCARE INDICATION"/>
    <n v="72"/>
    <n v="0"/>
    <n v="3.2000000000000002E-3"/>
    <n v="0"/>
    <n v="0"/>
    <n v="0.14879999999999999"/>
    <n v="0"/>
    <s v="0.00"/>
    <n v="-3.2000000000000002E-3"/>
  </r>
  <r>
    <s v="FRESH RUNY BABY PH5.5 ALC.FREE W 120 BAG"/>
    <s v=" Fulya Beauty"/>
    <x v="40"/>
    <s v="BAGS"/>
    <s v="PH BALANCED"/>
    <n v="120"/>
    <n v="29.782299999999999"/>
    <n v="8.0821000000000005"/>
    <n v="2.2058"/>
    <n v="1812.3146999999999"/>
    <n v="442.9864"/>
    <n v="129.73259999999999"/>
    <s v="-72.86"/>
    <n v="21.700199999999999"/>
  </r>
  <r>
    <s v="FRESH RUNY BABY MILK&amp;HONEY W 64 BAG"/>
    <s v=" Fulya Beauty"/>
    <x v="40"/>
    <s v="BAGS"/>
    <s v="WITHOUT EXTRA PROTECTCARE INDICATION"/>
    <n v="64"/>
    <n v="0.4194"/>
    <n v="0.27539999999999998"/>
    <n v="7.5600000000000001E-2"/>
    <n v="22.036999999999999"/>
    <n v="13.908200000000001"/>
    <n v="3.7229000000000001"/>
    <s v="-34.33"/>
    <n v="0.14400000000000002"/>
  </r>
  <r>
    <s v="FRESH MAKER BABY PH5.5 W 120 BAG JUMBO"/>
    <s v=" Fulya Beauty"/>
    <x v="41"/>
    <s v="BAGS"/>
    <s v="PH BALANCED"/>
    <n v="120"/>
    <n v="393.93759999999997"/>
    <n v="316.5532"/>
    <n v="120.4361"/>
    <n v="20334.628400000001"/>
    <n v="15456.115599999999"/>
    <n v="5660.8364000000001"/>
    <s v="-19.64"/>
    <n v="77.384399999999971"/>
  </r>
  <r>
    <s v="FRESH MAKER BABY CREAM W 120/48FREE BAG"/>
    <s v=" Fulya Beauty"/>
    <x v="41"/>
    <s v="BAGS"/>
    <s v="PH BALANCED"/>
    <n v="72"/>
    <n v="11.008699999999999"/>
    <n v="0"/>
    <n v="0"/>
    <n v="653.37990000000002"/>
    <n v="0"/>
    <n v="0"/>
    <s v="0.00"/>
    <n v="11.008699999999999"/>
  </r>
  <r>
    <s v="FRESH MAKER BABY CREAM W 72 BAG"/>
    <s v=" Fulya Beauty"/>
    <x v="41"/>
    <s v="BAGS"/>
    <s v="PH BALANCED"/>
    <n v="72"/>
    <n v="6.3380999999999998"/>
    <n v="2.2010000000000001"/>
    <n v="4.9340999999999999"/>
    <n v="360.70839999999998"/>
    <n v="122.7465"/>
    <n v="260.16239999999999"/>
    <s v="-65.27"/>
    <n v="4.1371000000000002"/>
  </r>
  <r>
    <s v="FRESH MAKER BABY CREAM W 72 BAG KAPAK"/>
    <s v=" Fulya Beauty"/>
    <x v="41"/>
    <s v="BAGS"/>
    <s v="PH BALANCED"/>
    <n v="72"/>
    <n v="17.2865"/>
    <n v="3.1953"/>
    <n v="0"/>
    <n v="1104.6166000000001"/>
    <n v="157.0744"/>
    <n v="0"/>
    <s v="-81.52"/>
    <n v="14.091200000000001"/>
  </r>
  <r>
    <s v="FRESH MAKER BABY CREAM W 96/24FREE BAG"/>
    <s v=" Fulya Beauty"/>
    <x v="41"/>
    <s v="BAGS"/>
    <s v="WITHOUT EXTRA PROTECTCARE INDICATION"/>
    <n v="72"/>
    <n v="8.3360000000000003"/>
    <n v="4.1882999999999999"/>
    <n v="0.16869999999999999"/>
    <n v="355.34039999999999"/>
    <n v="181.6489"/>
    <n v="7.0335999999999999"/>
    <s v="-49.76"/>
    <n v="4.1477000000000004"/>
  </r>
  <r>
    <s v="FRESH MAKER BABY W 72 BAG"/>
    <s v=" Fulya Beauty"/>
    <x v="41"/>
    <s v="BAGS"/>
    <s v="ALCOHOL FREE"/>
    <n v="72"/>
    <n v="10.51"/>
    <n v="23.858699999999999"/>
    <n v="12.9741"/>
    <n v="602.08569999999997"/>
    <n v="1188.0914"/>
    <n v="658.29200000000003"/>
    <s v="127.01"/>
    <n v="-13.348699999999999"/>
  </r>
  <r>
    <s v="FRESH MAKER BABY WITH CREAM W 72 BAG"/>
    <s v=" Fulya Beauty"/>
    <x v="41"/>
    <s v="BAGS"/>
    <s v="PH BALANCED"/>
    <n v="72"/>
    <n v="0.1246"/>
    <n v="0"/>
    <n v="4.1500000000000002E-2"/>
    <n v="7.4763999999999999"/>
    <n v="0"/>
    <n v="3.0169000000000001"/>
    <s v="0.00"/>
    <n v="0.1246"/>
  </r>
  <r>
    <s v="FRESH MAKER ALOE VERA PH5.5 W 90 BAG"/>
    <s v=" Fulya Beauty"/>
    <x v="41"/>
    <s v="BAGS"/>
    <s v="PH BALANCED"/>
    <n v="90"/>
    <n v="0"/>
    <n v="1.9545999999999999"/>
    <n v="2.1882000000000001"/>
    <n v="0"/>
    <n v="80.589100000000002"/>
    <n v="78.875"/>
    <s v="0.00"/>
    <n v="-1.9545999999999999"/>
  </r>
  <r>
    <s v="FRESH MAKER SENSITIVE ALC.FREE W 90 BAG"/>
    <s v=" Fulya Beauty"/>
    <x v="41"/>
    <s v="BAGS"/>
    <s v="SENSITIVE"/>
    <n v="90"/>
    <n v="4.02E-2"/>
    <n v="0"/>
    <n v="5.1000000000000004E-3"/>
    <n v="1.9040999999999999"/>
    <n v="0"/>
    <n v="0.1958"/>
    <s v="0.00"/>
    <n v="4.02E-2"/>
  </r>
  <r>
    <s v="HAPPY ALOE VERA W 100 BAG KAPAK"/>
    <s v=" Fulya Beauty"/>
    <x v="42"/>
    <s v="BAGS"/>
    <s v="PH BALANCED"/>
    <n v="100"/>
    <n v="0"/>
    <n v="6.88E-2"/>
    <n v="1.5603"/>
    <n v="0"/>
    <n v="2.9011"/>
    <n v="56.070300000000003"/>
    <s v="0.00"/>
    <n v="-6.88E-2"/>
  </r>
  <r>
    <s v="KIDS BABY WET WIPES W 72 BAG KAPACHE"/>
    <s v=" Fulya Beauty"/>
    <x v="43"/>
    <s v="BAGS"/>
    <s v="PH BALANCED"/>
    <n v="72"/>
    <n v="225.05289999999999"/>
    <n v="160.9256"/>
    <n v="66.089799999999997"/>
    <n v="14096.87"/>
    <n v="9843.2201000000005"/>
    <n v="3643.3836000000001"/>
    <s v="-28.49"/>
    <n v="64.127299999999991"/>
  </r>
  <r>
    <s v="LIO FRESH BABY CREAM LOTION W 72 BAG"/>
    <s v=" Fulya Beauty"/>
    <x v="44"/>
    <s v="BAGS"/>
    <s v="ALCOHOL FREE"/>
    <n v="72"/>
    <n v="27.677700000000002"/>
    <n v="22.1416"/>
    <n v="9.0610999999999997"/>
    <n v="1974.3932"/>
    <n v="1482.2675999999999"/>
    <n v="601.1807"/>
    <s v="-20.00"/>
    <n v="5.5361000000000011"/>
  </r>
  <r>
    <s v="NEMDIL BABY ROSE W 120 BAG KAPAK"/>
    <s v=" Fulya Beauty"/>
    <x v="45"/>
    <s v="BAGS"/>
    <s v="ALCOHOL FREE"/>
    <n v="120"/>
    <n v="41.221899999999998"/>
    <n v="44.201300000000003"/>
    <n v="20.616900000000001"/>
    <n v="1922.9742000000001"/>
    <n v="2020.3897999999999"/>
    <n v="923.72320000000002"/>
    <s v="7.23"/>
    <n v="-2.9794000000000054"/>
  </r>
  <r>
    <s v="NEMDIL BABY WITH CREAM W 120 BAG KAPAK"/>
    <s v=" Fulya Beauty"/>
    <x v="45"/>
    <s v="BAGS"/>
    <s v="ALCOHOL FREE"/>
    <n v="120"/>
    <n v="41.486600000000003"/>
    <n v="73.395700000000005"/>
    <n v="40.033299999999997"/>
    <n v="2454.0007999999998"/>
    <n v="4307.1679999999997"/>
    <n v="2180.9749000000002"/>
    <s v="76.91"/>
    <n v="-31.909100000000002"/>
  </r>
  <r>
    <s v="NEMDIL BABY ALCOHOL FREE W 72 BAG"/>
    <s v=" Fulya Beauty"/>
    <x v="45"/>
    <s v="BAGS"/>
    <s v="ALCOHOL FREE"/>
    <n v="72"/>
    <n v="0"/>
    <n v="0"/>
    <n v="0.36020000000000002"/>
    <n v="0"/>
    <n v="0"/>
    <n v="18.523700000000002"/>
    <s v="0.00"/>
    <n v="0"/>
  </r>
  <r>
    <s v="NEMDIL BABY OLIVE OIL CAMOMILE W 72 BAG"/>
    <s v=" Fulya Beauty"/>
    <x v="45"/>
    <s v="BAGS"/>
    <s v="WITHOUT EXTRA PROTECTCARE INDICATION"/>
    <n v="72"/>
    <n v="50.296300000000002"/>
    <n v="34.107599999999998"/>
    <n v="15.9543"/>
    <n v="3350.8564000000001"/>
    <n v="2178.5326"/>
    <n v="866.22"/>
    <s v="-32.19"/>
    <n v="16.188700000000004"/>
  </r>
  <r>
    <s v="NEMDIL BABYDELUXEALOE&amp;MIK&amp;HONEY W 72KAPA"/>
    <s v=" Fulya Beauty"/>
    <x v="45"/>
    <s v="BAGS"/>
    <s v="WITHOUT EXTRA PROTECTCARE INDICATION"/>
    <n v="72"/>
    <n v="5.0095999999999998"/>
    <n v="5.5152000000000001"/>
    <n v="4.4993999999999996"/>
    <n v="141.5444"/>
    <n v="154.2473"/>
    <n v="124.59650000000001"/>
    <s v="10.09"/>
    <n v="-0.50560000000000027"/>
  </r>
  <r>
    <s v="PREMIUM QUALITY BABY W 72 BAG &amp;&amp;&amp;"/>
    <s v=" Fulya Beauty"/>
    <x v="46"/>
    <s v="BAGS"/>
    <s v="ALCOHOL FREE"/>
    <n v="72"/>
    <n v="4.6416000000000004"/>
    <n v="5.1684999999999999"/>
    <n v="0.78010000000000002"/>
    <n v="142.55420000000001"/>
    <n v="145.93899999999999"/>
    <n v="21.435099999999998"/>
    <s v="11.35"/>
    <n v="-0.52689999999999948"/>
  </r>
  <r>
    <s v="PURE BABY LILIUM W 120 BAG KAPAK"/>
    <s v=" Fulya Beauty"/>
    <x v="31"/>
    <s v="BAGS"/>
    <s v="ALCOHOL FREE"/>
    <n v="120"/>
    <n v="137.1788"/>
    <n v="116.5658"/>
    <n v="65.912899999999993"/>
    <n v="7929.3796000000002"/>
    <n v="6740.5910999999996"/>
    <n v="3524.3125"/>
    <s v="-15.03"/>
    <n v="20.613"/>
  </r>
  <r>
    <s v="NAPEEZBYGRACIA BABY PH5.5 100 BAG KAPAK"/>
    <s v=" Grace Corp"/>
    <x v="47"/>
    <s v="BAGS"/>
    <s v="PH BALANCED"/>
    <n v="100"/>
    <n v="14.2293"/>
    <n v="21.789000000000001"/>
    <n v="7.9466000000000001"/>
    <n v="761.61429999999996"/>
    <n v="1129.7994000000001"/>
    <n v="412.24349999999998"/>
    <s v="53.13"/>
    <n v="-7.5597000000000012"/>
  </r>
  <r>
    <s v="MIKE LINE SENSIT.CREAM LOTION W 72 BAG"/>
    <s v=" SouthernGroup SP"/>
    <x v="48"/>
    <s v="BAGS"/>
    <s v="SENSITIVE"/>
    <n v="72"/>
    <n v="7.4866999999999999"/>
    <n v="1.5100000000000001E-2"/>
    <n v="0"/>
    <n v="509.18150000000003"/>
    <n v="0.77590000000000003"/>
    <n v="0"/>
    <s v="-99.80"/>
    <n v="7.4715999999999996"/>
  </r>
  <r>
    <s v="PRIME TALKO SENSITIVE 63 BAG KAPAK"/>
    <s v=" AvellinoGroup SRL"/>
    <x v="49"/>
    <s v="BAGS"/>
    <s v="SENSITIVE"/>
    <n v="63"/>
    <n v="1.3945000000000001"/>
    <n v="0"/>
    <n v="0"/>
    <n v="67.202299999999994"/>
    <n v="0"/>
    <n v="0"/>
    <s v="0.00"/>
    <n v="1.3945000000000001"/>
  </r>
  <r>
    <s v="PRIME BABY ALC.FREE 72 BAG KAPAK"/>
    <s v=" AvellinoGroup SRL"/>
    <x v="49"/>
    <s v="BAGS"/>
    <s v="ALCOHOL FREE"/>
    <n v="72"/>
    <n v="7.7927999999999997"/>
    <n v="0"/>
    <n v="0"/>
    <n v="362.96660000000003"/>
    <n v="0"/>
    <n v="0"/>
    <s v="0.00"/>
    <n v="7.7927999999999997"/>
  </r>
  <r>
    <s v="PONKY BABY W 72 BAG +KAPACHE"/>
    <s v=" RoseBeauty"/>
    <x v="50"/>
    <s v="BAGS"/>
    <s v="WITHOUT EXTRA PROTECTCARE INDICATION"/>
    <n v="72"/>
    <n v="63.770400000000002"/>
    <n v="23.340299999999999"/>
    <n v="11.8607"/>
    <n v="2545.3452000000002"/>
    <n v="949.45609999999999"/>
    <n v="459.19099999999997"/>
    <s v="-63.40"/>
    <n v="40.430100000000003"/>
  </r>
  <r>
    <s v="PONKY BABY WET TOWEL W 72 BAG ZHALTI"/>
    <s v=" RoseBeauty"/>
    <x v="50"/>
    <s v="BAGS"/>
    <s v="ALCOHOL FREE"/>
    <n v="72"/>
    <n v="12.7019"/>
    <n v="13.0259"/>
    <n v="5.5613999999999999"/>
    <n v="553.99599999999998"/>
    <n v="562.68320000000006"/>
    <n v="225.62440000000001"/>
    <s v="2.55"/>
    <n v="-0.32399999999999984"/>
  </r>
  <r>
    <s v="POZZY EXTRA MILK&amp;HONEY PH5.5 W 72 BAG"/>
    <s v=" RoseBeauty"/>
    <x v="51"/>
    <s v="BAGS"/>
    <s v="PH BALANCED"/>
    <n v="72"/>
    <n v="0.59"/>
    <n v="0"/>
    <n v="0"/>
    <n v="18.470099999999999"/>
    <n v="0"/>
    <n v="0"/>
    <s v="0.00"/>
    <n v="0.59"/>
  </r>
  <r>
    <s v="POZZY EXTRA OLIVE OIL ALC.FREE W 72 BAG"/>
    <s v=" RoseBeauty"/>
    <x v="51"/>
    <s v="BAGS"/>
    <s v="ALCOHOL FREE"/>
    <n v="72"/>
    <n v="0.59"/>
    <n v="0"/>
    <n v="0"/>
    <n v="18.470099999999999"/>
    <n v="0"/>
    <n v="0"/>
    <s v="0.00"/>
    <n v="0.59"/>
  </r>
  <r>
    <s v="CLEANIC BABY ATOPICAL D-PANT. PH 50 BAG"/>
    <s v=" CleanHarper"/>
    <x v="52"/>
    <s v="BAGS"/>
    <s v="HYPOALLERGENIC"/>
    <n v="50"/>
    <n v="0"/>
    <n v="1.1446000000000001"/>
    <n v="0.29039999999999999"/>
    <n v="0"/>
    <n v="11.6808"/>
    <n v="3.3864000000000001"/>
    <s v="0.00"/>
    <n v="-1.1446000000000001"/>
  </r>
  <r>
    <s v="CLEANIC BABY PROBIOTICAL HYPOAL.50 BAG"/>
    <s v=" CleanHarper"/>
    <x v="52"/>
    <s v="BAGS"/>
    <s v="HYPOALLERGENIC"/>
    <n v="50"/>
    <n v="0"/>
    <n v="0.49220000000000003"/>
    <n v="0.1164"/>
    <n v="0"/>
    <n v="4.2202000000000002"/>
    <n v="0.85"/>
    <s v="0.00"/>
    <n v="-0.49220000000000003"/>
  </r>
  <r>
    <s v="CLEANIC BABY VEGEMILK VIT&amp;MIN.50 BAG"/>
    <s v=" CleanHarper"/>
    <x v="52"/>
    <s v="BAGS"/>
    <s v="PH BALANCED"/>
    <n v="50"/>
    <n v="0"/>
    <n v="1.4152"/>
    <n v="0.3513"/>
    <n v="0"/>
    <n v="20.5671"/>
    <n v="6.5918999999999999"/>
    <s v="0.00"/>
    <n v="-1.4152"/>
  </r>
  <r>
    <s v="PETINO DELICATO&amp;FRESH ALANTOIN 120 BAG"/>
    <s v=" CleanHarper"/>
    <x v="53"/>
    <s v="BAGS"/>
    <s v="WITHOUT EXTRA PROTECTCARE INDICATION"/>
    <n v="120"/>
    <n v="6.1999999999999998E-3"/>
    <n v="21.155899999999999"/>
    <n v="10.029400000000001"/>
    <n v="0.32569999999999999"/>
    <n v="1092.0349000000001"/>
    <n v="489.28280000000001"/>
    <s v="341124.19"/>
    <n v="-21.149699999999999"/>
  </r>
  <r>
    <s v="PETINO DELICATO&amp;FRESH ALANTOIN 84/12FR"/>
    <s v=" CleanHarper"/>
    <x v="53"/>
    <s v="BAGS"/>
    <s v="WITHOUT EXTRA PROTECTCARE INDICATION"/>
    <n v="72"/>
    <n v="230.74209999999999"/>
    <n v="277.85789999999997"/>
    <n v="133.2149"/>
    <n v="11792.3397"/>
    <n v="14416.314700000001"/>
    <n v="6626.5474000000004"/>
    <s v="20.42"/>
    <n v="-47.115799999999979"/>
  </r>
  <r>
    <s v="MOLFIX BABY COTTON PH5.5 W 50 BAG HAYAT"/>
    <s v=" LifeChem"/>
    <x v="54"/>
    <s v="BAGS"/>
    <s v="PH BALANCED"/>
    <n v="50"/>
    <n v="0.37059999999999998"/>
    <n v="0.24890000000000001"/>
    <n v="0"/>
    <n v="9.2727000000000004"/>
    <n v="7.0415000000000001"/>
    <n v="0"/>
    <s v="-32.84"/>
    <n v="0.12169999999999997"/>
  </r>
  <r>
    <s v="MOLFIX BABY IZOT.WATER PANT.&amp;LAN.W 60 BA"/>
    <s v=" LifeChem"/>
    <x v="54"/>
    <s v="BAGS"/>
    <s v="PH BALANCED"/>
    <n v="60"/>
    <n v="29.4162"/>
    <n v="107.9663"/>
    <n v="52.6723"/>
    <n v="866.39819999999997"/>
    <n v="3176.0981999999999"/>
    <n v="1396.3396"/>
    <s v="267.03"/>
    <n v="-78.5501"/>
  </r>
  <r>
    <s v="MOLFIX BABY LOTION ISO.WATER W 3X60 BAG"/>
    <s v=" LifeChem"/>
    <x v="54"/>
    <s v="BAGS"/>
    <s v="PH BALANCED"/>
    <n v="60"/>
    <n v="2.2702"/>
    <n v="6.8476999999999997"/>
    <n v="4.3963000000000001"/>
    <n v="71.277600000000007"/>
    <n v="210.60059999999999"/>
    <n v="121.2728"/>
    <s v="201.63"/>
    <n v="-4.5774999999999997"/>
  </r>
  <r>
    <s v="MOLFIX BABY LOTION PH5.5 W 60 BAG HAYAT"/>
    <s v=" LifeChem"/>
    <x v="54"/>
    <s v="BAGS"/>
    <s v="PH BALANCED"/>
    <n v="60"/>
    <n v="296.26589999999999"/>
    <n v="290.55259999999998"/>
    <n v="128.1713"/>
    <n v="8749.3634000000002"/>
    <n v="8593.8201000000008"/>
    <n v="3618.6093999999998"/>
    <s v="-1.93"/>
    <n v="5.7133000000000038"/>
  </r>
  <r>
    <s v="MOLFIX BABY LOTION W 3X60 BAG HAYAT"/>
    <s v=" LifeChem"/>
    <x v="54"/>
    <s v="BAGS"/>
    <s v="PH BALANCED"/>
    <n v="60"/>
    <n v="2.9716999999999998"/>
    <n v="0.47810000000000002"/>
    <n v="0.26490000000000002"/>
    <n v="93.2804"/>
    <n v="14.5885"/>
    <n v="7.5808999999999997"/>
    <s v="-83.91"/>
    <n v="2.4935999999999998"/>
  </r>
  <r>
    <s v="MOLFIX BABY LOTION W 3X63 BAG HAYAT"/>
    <s v=" LifeChem"/>
    <x v="54"/>
    <s v="BAGS"/>
    <s v="PH BALANCED"/>
    <n v="63"/>
    <n v="0.21840000000000001"/>
    <n v="0"/>
    <n v="0"/>
    <n v="7.3784000000000001"/>
    <n v="0"/>
    <n v="0"/>
    <s v="0.00"/>
    <n v="0.21840000000000001"/>
  </r>
  <r>
    <s v="MOLFIX BABY W 63 BAG HAYAT"/>
    <s v=" LifeChem"/>
    <x v="54"/>
    <s v="BAGS"/>
    <s v="WITHOUT EXTRA PROTECTCARE INDICATION"/>
    <n v="63"/>
    <n v="0.50360000000000005"/>
    <n v="0"/>
    <n v="0"/>
    <n v="14.988200000000001"/>
    <n v="0"/>
    <n v="0"/>
    <s v="0.00"/>
    <n v="0.50360000000000005"/>
  </r>
  <r>
    <s v="HIMALAYA ALOE VERA&amp;INDIANLOTUS W 20 BAG"/>
    <s v=" MountainMedicine"/>
    <x v="55"/>
    <s v="BAGS"/>
    <s v="ALCOHOL FREE &amp; HYPOALLERGENIC"/>
    <n v="20"/>
    <n v="0.17610000000000001"/>
    <n v="1.0699999999999999E-2"/>
    <n v="0"/>
    <n v="3.1602000000000001"/>
    <n v="0.19450000000000001"/>
    <n v="0"/>
    <s v="-93.92"/>
    <n v="0.16540000000000002"/>
  </r>
  <r>
    <s v="HIMALAYA SOOTHING&amp;PROTECTINGBABY W 20BAG"/>
    <s v=" MountainMedicine"/>
    <x v="55"/>
    <s v="BAGS"/>
    <s v="ALCOHOL FREE &amp; HYPOALLERGENIC"/>
    <n v="20"/>
    <n v="0.50239999999999996"/>
    <n v="6.6451000000000002"/>
    <n v="0"/>
    <n v="10.56"/>
    <n v="115.3312"/>
    <n v="0"/>
    <s v="1222.67"/>
    <n v="-6.1427000000000005"/>
  </r>
  <r>
    <s v="HIMALAYA ALOE VERA&amp;INDIANLOTUS W 56 BAG"/>
    <s v=" MountainMedicine"/>
    <x v="55"/>
    <s v="BAGS"/>
    <s v="ALCOHOL FREE &amp; HYPOALLERGENIC"/>
    <n v="56"/>
    <n v="0.31990000000000002"/>
    <n v="0"/>
    <n v="0"/>
    <n v="7.3638000000000003"/>
    <n v="0"/>
    <n v="0"/>
    <s v="0.00"/>
    <n v="0.31990000000000002"/>
  </r>
  <r>
    <s v="HIMALAYA SOOTHING&amp;PROTECTINGBABY W 56BAG"/>
    <s v=" MountainMedicine"/>
    <x v="55"/>
    <s v="BAGS"/>
    <s v="ALCOHOL FREE &amp; HYPOALLERGENIC"/>
    <n v="56"/>
    <n v="3.0116000000000001"/>
    <n v="0"/>
    <n v="0"/>
    <n v="62.468000000000004"/>
    <n v="0"/>
    <n v="0"/>
    <s v="0.00"/>
    <n v="3.0116000000000001"/>
  </r>
  <r>
    <s v="HIPP BABY SANFT ALMOND PH5.5 W 10 BAG"/>
    <s v=" Swift GMBH"/>
    <x v="56"/>
    <s v="BAGS"/>
    <s v="PH BALANCED"/>
    <n v="10"/>
    <n v="1.7111000000000001"/>
    <n v="0.48920000000000002"/>
    <n v="7.6600000000000001E-2"/>
    <n v="14.330299999999999"/>
    <n v="3.8454999999999999"/>
    <n v="0.62309999999999999"/>
    <s v="-71.41"/>
    <n v="1.2219"/>
  </r>
  <r>
    <s v="HIPP BABY ULTRASENSITIVE MANDEL W 52 BAG"/>
    <s v=" Swift GMBH"/>
    <x v="56"/>
    <s v="BAGS"/>
    <s v="SENSITIVE"/>
    <n v="52"/>
    <n v="88.057900000000004"/>
    <n v="26.767399999999999"/>
    <n v="2.3372999999999999"/>
    <n v="2166.7952"/>
    <n v="614.64589999999998"/>
    <n v="48.202599999999997"/>
    <s v="-69.60"/>
    <n v="61.290500000000009"/>
  </r>
  <r>
    <s v="HIPP BABY ALMOND W 56 BAG"/>
    <s v=" Swift GMBH"/>
    <x v="56"/>
    <s v="BAGS"/>
    <s v="WITHOUT EXTRA PROTECTCARE INDICATION"/>
    <n v="56"/>
    <n v="1.0826"/>
    <n v="0.79220000000000002"/>
    <n v="0"/>
    <n v="19.760000000000002"/>
    <n v="17.024000000000001"/>
    <n v="0"/>
    <s v="-26.82"/>
    <n v="0.29039999999999999"/>
  </r>
  <r>
    <s v="HIPP BABY GENTLE CARING W 56 BAG"/>
    <s v=" Swift GMBH"/>
    <x v="56"/>
    <s v="BAGS"/>
    <s v="PH BALANCED"/>
    <n v="56"/>
    <n v="0.44109999999999999"/>
    <n v="0.41260000000000002"/>
    <n v="4.5600000000000002E-2"/>
    <n v="8.4567999999999994"/>
    <n v="6.601"/>
    <n v="0.72929999999999995"/>
    <s v="-6.46"/>
    <n v="2.849999999999997E-2"/>
  </r>
  <r>
    <s v="HIPP BABY SANFT FEUCHT TUCHER W 56 BAG"/>
    <s v=" Swift GMBH"/>
    <x v="56"/>
    <s v="BAGS"/>
    <s v="SENSITIVE"/>
    <n v="56"/>
    <n v="2.1700000000000001E-2"/>
    <n v="0"/>
    <n v="0"/>
    <n v="0.48470000000000002"/>
    <n v="0"/>
    <n v="0"/>
    <s v="0.00"/>
    <n v="2.1700000000000001E-2"/>
  </r>
  <r>
    <s v="HIPP BABYSANFT BIOMANDELEXT.W 2X56+POD."/>
    <s v=" Swift GMBH"/>
    <x v="56"/>
    <s v="BAGS"/>
    <s v="PH BALANCED"/>
    <n v="56"/>
    <n v="1.675"/>
    <n v="2.4634999999999998"/>
    <n v="0.86060000000000003"/>
    <n v="31.331099999999999"/>
    <n v="43.584000000000003"/>
    <n v="15.645899999999999"/>
    <s v="47.07"/>
    <n v="-0.78849999999999976"/>
  </r>
  <r>
    <s v="HIPP BABYSANFT BIOMANDELEXTR. W 2X56 BAG"/>
    <s v=" Swift GMBH"/>
    <x v="56"/>
    <s v="BAGS"/>
    <s v="PH BALANCED"/>
    <n v="56"/>
    <n v="9.3126999999999995"/>
    <n v="6.4108999999999998"/>
    <n v="5.0708000000000002"/>
    <n v="206.11410000000001"/>
    <n v="126.16"/>
    <n v="101.6622"/>
    <s v="-31.16"/>
    <n v="2.9017999999999997"/>
  </r>
  <r>
    <s v="HIPP BABYSANFT BIOMANDELEXTRACT W 56 BAG"/>
    <s v=" Swift GMBH"/>
    <x v="56"/>
    <s v="BAGS"/>
    <s v="PH BALANCED"/>
    <n v="56"/>
    <n v="11.1845"/>
    <n v="11.7105"/>
    <n v="3.9420000000000002"/>
    <n v="216.30410000000001"/>
    <n v="238.77709999999999"/>
    <n v="77.523899999999998"/>
    <s v="4.70"/>
    <n v="-0.5259999999999998"/>
  </r>
  <r>
    <s v="BIONIKE TRIDERM BABY CLEANSING 72 BAG"/>
    <s v=" InsideGlobal"/>
    <x v="57"/>
    <s v="BAGS"/>
    <s v="HYPOALLERGENIC"/>
    <n v="72"/>
    <n v="6.6299999999999998E-2"/>
    <n v="0.12959999999999999"/>
    <n v="7.1499999999999994E-2"/>
    <n v="0.504"/>
    <n v="0.91539999999999999"/>
    <n v="0.52459999999999996"/>
    <s v="95.48"/>
    <n v="-6.3299999999999995E-2"/>
  </r>
  <r>
    <s v="WATERWIPES FRUITEXTR.99.9%WATER W 10 BAG"/>
    <s v=" CelticWind Ltd"/>
    <x v="58"/>
    <s v="BAGS"/>
    <s v="WITHOUT EXTRA PROTECTCARE INDICATION"/>
    <n v="10"/>
    <n v="0.61529999999999996"/>
    <n v="0.502"/>
    <n v="4.99E-2"/>
    <n v="4.0616000000000003"/>
    <n v="3.2562000000000002"/>
    <n v="0.25269999999999998"/>
    <s v="-18.41"/>
    <n v="0.11329999999999996"/>
  </r>
  <r>
    <s v="WATERWIPES FRUITEXTR.99.9%WATER W 240BAG"/>
    <s v=" CelticWind Ltd"/>
    <x v="58"/>
    <s v="BAGS"/>
    <s v="WITHOUT EXTRA PROTECTCARE INDICATION"/>
    <n v="240"/>
    <n v="18.4224"/>
    <n v="21.849599999999999"/>
    <n v="15.9329"/>
    <n v="154.90440000000001"/>
    <n v="191.65379999999999"/>
    <n v="151.1"/>
    <s v="18.60"/>
    <n v="-3.4271999999999991"/>
  </r>
  <r>
    <s v="WATERWIPES FRUITEXTR.99.9%WATER W 28 BAG"/>
    <s v=" CelticWind Ltd"/>
    <x v="58"/>
    <s v="BAGS"/>
    <s v="WITHOUT EXTRA PROTECTCARE INDICATION"/>
    <n v="28"/>
    <n v="1.851"/>
    <n v="2.4146999999999998"/>
    <n v="0.80920000000000003"/>
    <n v="10.083500000000001"/>
    <n v="14.928100000000001"/>
    <n v="5.5830000000000002"/>
    <s v="30.45"/>
    <n v="-0.56369999999999987"/>
  </r>
  <r>
    <s v="WATERWIPES FRUITEXTR.99.9%WATER W 60 BAG"/>
    <s v=" CelticWind Ltd"/>
    <x v="58"/>
    <s v="BAGS"/>
    <s v="WITHOUT EXTRA PROTECTCARE INDICATION"/>
    <n v="60"/>
    <n v="198.11109999999999"/>
    <n v="233.6309"/>
    <n v="113.3126"/>
    <n v="1569.5084999999999"/>
    <n v="2030.1902"/>
    <n v="989.67420000000004"/>
    <s v="17.93"/>
    <n v="-35.519800000000004"/>
  </r>
  <r>
    <s v="WATERWIPES SOAPBERRY99.9%WATER W 60 BAG"/>
    <s v=" CelticWind Ltd"/>
    <x v="58"/>
    <s v="BAGS"/>
    <s v="WITHOUT EXTRA PROTECTCARE INDICATION"/>
    <n v="60"/>
    <n v="1.278"/>
    <n v="13.6012"/>
    <n v="11.1342"/>
    <n v="10.3644"/>
    <n v="118.5029"/>
    <n v="94.131399999999999"/>
    <s v="964.26"/>
    <n v="-12.3232"/>
  </r>
  <r>
    <s v="PAW PATROL  FreshClean 56 W BAG"/>
    <s v=" JellyHealth"/>
    <x v="59"/>
    <s v="BAGS"/>
    <s v="WITHOUT EXTRA PROTECTCARE INDICATION"/>
    <n v="56"/>
    <n v="0"/>
    <n v="0.2286"/>
    <n v="8.4099999999999994E-2"/>
    <n v="0"/>
    <n v="3.6671999999999998"/>
    <n v="1.3489"/>
    <s v="0.00"/>
    <n v="-0.2286"/>
  </r>
  <r>
    <s v="PEPPA PIG BABY MUDDY PUDDLE 56 W BAG"/>
    <s v=" JellyHealth"/>
    <x v="60"/>
    <s v="BAGS"/>
    <s v="WITHOUT EXTRA PROTECTCARE INDICATION"/>
    <n v="56"/>
    <n v="0"/>
    <n v="0.22009999999999999"/>
    <n v="0.1012"/>
    <n v="0"/>
    <n v="3.5211000000000001"/>
    <n v="1.6187"/>
    <s v="0.00"/>
    <n v="-0.22009999999999999"/>
  </r>
  <r>
    <s v="JOHNSONS BABY GENTLE ALL OVER W 20 BAG"/>
    <s v=" Thomson &amp; Thomson"/>
    <x v="61"/>
    <s v="BAGS"/>
    <s v="ALCOHOL FREE &amp; HYPOALLERGENIC"/>
    <n v="20"/>
    <n v="0.3851"/>
    <n v="0.10680000000000001"/>
    <n v="0"/>
    <n v="4.9682000000000004"/>
    <n v="1.3105"/>
    <n v="0"/>
    <s v="-72.27"/>
    <n v="0.27829999999999999"/>
  </r>
  <r>
    <s v="JOHNSONS BAB COT.TOU SEN.W56+BOD+SHG+IGR"/>
    <s v=" Thomson &amp; Thomson"/>
    <x v="61"/>
    <s v="BAGS"/>
    <s v="SENSITIVE"/>
    <n v="56"/>
    <n v="1.0960000000000001"/>
    <n v="0.3664"/>
    <n v="5.7799999999999997E-2"/>
    <n v="13.8332"/>
    <n v="3.4159999999999999"/>
    <n v="0.48"/>
    <s v="-66.57"/>
    <n v="0.72960000000000003"/>
  </r>
  <r>
    <s v="JOHNSONS BABY COTTON TOUCH SENS.W 56 BAG"/>
    <s v=" Thomson &amp; Thomson"/>
    <x v="61"/>
    <s v="BAGS"/>
    <s v="SENSITIVE"/>
    <n v="56"/>
    <n v="8.1957000000000004"/>
    <n v="0.14119999999999999"/>
    <n v="1.1000000000000001E-3"/>
    <n v="213.62710000000001"/>
    <n v="2.6021999999999998"/>
    <n v="1.6E-2"/>
    <s v="-98.28"/>
    <n v="8.0545000000000009"/>
  </r>
  <r>
    <s v="JOHNSONS BABY GENTLE ALL OVER W 3X56 BAG"/>
    <s v=" Thomson &amp; Thomson"/>
    <x v="61"/>
    <s v="BAGS"/>
    <s v="ALCOHOL FREE &amp; HYPOALLERGENIC"/>
    <n v="56"/>
    <n v="2.8999999999999998E-3"/>
    <n v="0"/>
    <n v="0"/>
    <n v="0.17960000000000001"/>
    <n v="0"/>
    <n v="0"/>
    <s v="0.00"/>
    <n v="2.8999999999999998E-3"/>
  </r>
  <r>
    <s v="JOHNSONS BABY SILK EXTRACT W 56 BAG"/>
    <s v=" Thomson &amp; Thomson"/>
    <x v="61"/>
    <s v="BAGS"/>
    <s v="WITHOUT EXTRA PROTECTCARE INDICATION"/>
    <n v="56"/>
    <n v="0.22670000000000001"/>
    <n v="0"/>
    <n v="0"/>
    <n v="4.5189000000000004"/>
    <n v="0"/>
    <n v="0"/>
    <s v="0.00"/>
    <n v="0.22670000000000001"/>
  </r>
  <r>
    <s v="JOHNSONS BABY GENTLE ALL OVER W 72 BAG K"/>
    <s v=" Thomson &amp; Thomson"/>
    <x v="61"/>
    <s v="BAGS"/>
    <s v="ALCOHOL FREE &amp; HYPOALLERGENIC"/>
    <n v="72"/>
    <n v="24.499500000000001"/>
    <n v="1.3658999999999999"/>
    <n v="5.9999999999999995E-4"/>
    <n v="789.96360000000004"/>
    <n v="36.531500000000001"/>
    <n v="2.06E-2"/>
    <s v="-94.42"/>
    <n v="23.133600000000001"/>
  </r>
  <r>
    <s v="JOHNSONS BABY SENSITIVE ALC.FREE W 72 BA"/>
    <s v=" Thomson &amp; Thomson"/>
    <x v="61"/>
    <s v="BAGS"/>
    <s v="SENSITIVE"/>
    <n v="72"/>
    <n v="0"/>
    <n v="2.8000000000000001E-2"/>
    <n v="0"/>
    <n v="0"/>
    <n v="0.80640000000000001"/>
    <n v="0"/>
    <s v="0.00"/>
    <n v="-2.8000000000000001E-2"/>
  </r>
  <r>
    <s v="MAIA BABY PURE&amp;SENSITIVE PH5.5 W 72 BAG"/>
    <s v=" KalesCo"/>
    <x v="62"/>
    <s v="BAGS"/>
    <s v="PH BALANCED"/>
    <n v="72"/>
    <n v="0"/>
    <n v="10.2052"/>
    <n v="14.4321"/>
    <n v="0"/>
    <n v="569.2527"/>
    <n v="716.4248"/>
    <s v="0.00"/>
    <n v="-10.2052"/>
  </r>
  <r>
    <s v="KRISPA BABY CAMOMILE W 15 BAG"/>
    <s v=" CapPlus"/>
    <x v="63"/>
    <s v="BAGS"/>
    <s v="WITHOUT EXTRA PROTECTCARE INDICATION"/>
    <n v="15"/>
    <n v="1.1900000000000001E-2"/>
    <n v="0"/>
    <n v="0"/>
    <n v="0.14000000000000001"/>
    <n v="0"/>
    <n v="0"/>
    <s v="0.00"/>
    <n v="1.1900000000000001E-2"/>
  </r>
  <r>
    <s v="FRESH'N SOFT WATER&amp;COTTON W 3X40 BAG"/>
    <s v=" BrothersFlyProducts SAN A.S."/>
    <x v="64"/>
    <s v="BAGS"/>
    <s v="PH BALANCED"/>
    <n v="40"/>
    <n v="0"/>
    <n v="0"/>
    <n v="0.69599999999999995"/>
    <n v="0"/>
    <n v="0"/>
    <n v="11.551500000000001"/>
    <s v="0.00"/>
    <n v="0"/>
  </r>
  <r>
    <s v="FRESH'N SOFT CLASSIC PH5.5 W 90 BAG"/>
    <s v=" BrothersFlyProducts SAN A.S."/>
    <x v="64"/>
    <s v="BAGS"/>
    <s v="PH BALANCED"/>
    <n v="90"/>
    <n v="0.33289999999999997"/>
    <n v="2.7199999999999998E-2"/>
    <n v="0.74419999999999997"/>
    <n v="16.585699999999999"/>
    <n v="2.2242999999999999"/>
    <n v="24.0091"/>
    <s v="-91.83"/>
    <n v="0.30569999999999997"/>
  </r>
  <r>
    <s v="RENKLY JUMBO CHAMOMILE 120 W BAG KAPAK"/>
    <s v=" Snowball Cologne"/>
    <x v="65"/>
    <s v="BAGS"/>
    <s v="PH BALANCED"/>
    <n v="120"/>
    <n v="0"/>
    <n v="3.2099999999999997E-2"/>
    <n v="0.19070000000000001"/>
    <n v="0"/>
    <n v="1.7567999999999999"/>
    <n v="7.8956"/>
    <s v="0.00"/>
    <n v="-3.2099999999999997E-2"/>
  </r>
  <r>
    <s v="RENKLY BABY ALC.FREE W 70 BAG"/>
    <s v=" Snowball Cologne"/>
    <x v="65"/>
    <s v="BAGS"/>
    <s v="ALCOHOL FREE"/>
    <n v="70"/>
    <n v="0"/>
    <n v="0"/>
    <n v="2.2185000000000001"/>
    <n v="0"/>
    <n v="0"/>
    <n v="128.51750000000001"/>
    <s v="0.00"/>
    <n v="0"/>
  </r>
  <r>
    <s v="RENKLY BABY ALOE VERA 70 W BAG"/>
    <s v=" Snowball Cologne"/>
    <x v="65"/>
    <s v="BAGS"/>
    <s v="PH BALANCED"/>
    <n v="70"/>
    <n v="0"/>
    <n v="7.0191999999999997"/>
    <n v="7.8216999999999999"/>
    <n v="0"/>
    <n v="471.142"/>
    <n v="503.7824"/>
    <s v="0.00"/>
    <n v="-7.0191999999999997"/>
  </r>
  <r>
    <s v="RENKLI BABY ALC.FREE PH5.5 W 72 BAG KAPA"/>
    <s v=" Snowball Cologne"/>
    <x v="65"/>
    <s v="BAGS"/>
    <s v="PH BALANCED"/>
    <n v="72"/>
    <n v="8.5007999999999999"/>
    <n v="1.8512999999999999"/>
    <n v="0.35020000000000001"/>
    <n v="288.41750000000002"/>
    <n v="66.691299999999998"/>
    <n v="13.4161"/>
    <s v="-78.22"/>
    <n v="6.6494999999999997"/>
  </r>
  <r>
    <s v="RENKLY BABY 72 W BAG"/>
    <s v=" Snowball Cologne"/>
    <x v="65"/>
    <s v="BAGS"/>
    <s v="PH BALANCED"/>
    <n v="72"/>
    <n v="32.951099999999997"/>
    <n v="14.947100000000001"/>
    <n v="4.2103999999999999"/>
    <n v="1259.2874999999999"/>
    <n v="556.85670000000005"/>
    <n v="163.69149999999999"/>
    <s v="-54.64"/>
    <n v="18.003999999999998"/>
  </r>
  <r>
    <s v="HUGGIES NATURAL CARE ALOE VERA W 56 BAG"/>
    <s v=" Kimberly Stone"/>
    <x v="66"/>
    <s v="BAGS"/>
    <s v="ALCOHOL FREE"/>
    <n v="56"/>
    <n v="53.822000000000003"/>
    <n v="66.983199999999997"/>
    <n v="42.143000000000001"/>
    <n v="1325.5655999999999"/>
    <n v="1594.76"/>
    <n v="1015.3249"/>
    <s v="24.45"/>
    <n v="-13.161199999999994"/>
  </r>
  <r>
    <s v="HUGGIES PURE COTTON WOOL&amp;WATER 56 W BAG"/>
    <s v=" Kimberly Stone"/>
    <x v="66"/>
    <s v="BAGS"/>
    <s v="ALCOHOL FREE"/>
    <n v="56"/>
    <n v="81.760300000000001"/>
    <n v="83.135000000000005"/>
    <n v="53.412599999999998"/>
    <n v="1959.0420999999999"/>
    <n v="1973.6881000000001"/>
    <n v="1284.8007"/>
    <s v="1.68"/>
    <n v="-1.3747000000000043"/>
  </r>
  <r>
    <s v="HUGGIES SOFT SKIN VIT E 56 BAG"/>
    <s v=" Kimberly Stone"/>
    <x v="66"/>
    <s v="BAGS"/>
    <s v="ALCOHOL FREE"/>
    <n v="56"/>
    <n v="24.3629"/>
    <n v="18.871200000000002"/>
    <n v="0.95489999999999997"/>
    <n v="571.42309999999998"/>
    <n v="430.0342"/>
    <n v="21.356300000000001"/>
    <s v="-22.54"/>
    <n v="5.491699999999998"/>
  </r>
  <r>
    <s v="HUGGIES UNISTAR LINGETTES 56 W BAG"/>
    <s v=" Kimberly Stone"/>
    <x v="66"/>
    <s v="BAGS"/>
    <s v="WITHOUT EXTRA PROTECTCARE INDICATION"/>
    <n v="56"/>
    <n v="6.2572999999999999"/>
    <n v="18.031600000000001"/>
    <n v="4.2451999999999996"/>
    <n v="140.29249999999999"/>
    <n v="398.21929999999998"/>
    <n v="95.220100000000002"/>
    <s v="188.17"/>
    <n v="-11.7743"/>
  </r>
  <r>
    <s v="HUGGIES ALOE+VIT E W 64 BAG"/>
    <s v=" Kimberly Stone"/>
    <x v="66"/>
    <s v="BAGS"/>
    <s v="PH BALANCED"/>
    <n v="64"/>
    <n v="0"/>
    <n v="0"/>
    <n v="0.16520000000000001"/>
    <n v="0"/>
    <n v="0"/>
    <n v="4.4053000000000004"/>
    <s v="0.00"/>
    <n v="0"/>
  </r>
  <r>
    <s v="HUGGIES BABY UNISTAR W 64 BAG"/>
    <s v=" Kimberly Stone"/>
    <x v="66"/>
    <s v="BAGS"/>
    <s v="WITHOUT EXTRA PROTECTCARE INDICATION"/>
    <n v="64"/>
    <n v="2.9600000000000001E-2"/>
    <n v="0"/>
    <n v="0"/>
    <n v="0.8246"/>
    <n v="0"/>
    <n v="0"/>
    <s v="0.00"/>
    <n v="2.9600000000000001E-2"/>
  </r>
  <r>
    <s v="HUGGIES PURE 99% WATER 72 W BAG"/>
    <s v=" Kimberly Stone"/>
    <x v="66"/>
    <s v="BAGS"/>
    <s v="WITHOUT EXTRA PROTECTCARE INDICATION"/>
    <n v="72"/>
    <n v="2.3472"/>
    <n v="0.8044"/>
    <n v="0"/>
    <n v="54.641800000000003"/>
    <n v="24.183599999999998"/>
    <n v="0"/>
    <s v="-65.73"/>
    <n v="1.5427999999999999"/>
  </r>
  <r>
    <s v="KOMILI BABY SOFT ALC.FREE W 70 BAG"/>
    <s v=" OliveTree S.A."/>
    <x v="67"/>
    <s v="BAGS"/>
    <s v="ALCOHOL FREE"/>
    <n v="70"/>
    <n v="5.9740000000000002"/>
    <n v="0"/>
    <n v="0"/>
    <n v="416.80889999999999"/>
    <n v="0"/>
    <n v="0"/>
    <s v="0.00"/>
    <n v="5.9740000000000002"/>
  </r>
  <r>
    <s v="KOMILI BABY COTTON PH5.5 W 80 BAG"/>
    <s v=" OliveTree S.A."/>
    <x v="67"/>
    <s v="BAGS"/>
    <s v="PH BALANCED"/>
    <n v="80"/>
    <n v="0.1293"/>
    <n v="8.2299999999999998E-2"/>
    <n v="0"/>
    <n v="5.4459999999999997"/>
    <n v="3.4649000000000001"/>
    <n v="0"/>
    <s v="-36.35"/>
    <n v="4.7E-2"/>
  </r>
  <r>
    <s v="TANGO BABY SOFT VIT E ALC.FREE 72BR BAG"/>
    <s v=" CosmicChem"/>
    <x v="68"/>
    <s v="BAGS"/>
    <s v="ALCOHOL FREE"/>
    <n v="72"/>
    <n v="11.181699999999999"/>
    <n v="15.1816"/>
    <n v="9.6165000000000003"/>
    <n v="586.38080000000002"/>
    <n v="752.94479999999999"/>
    <n v="438.76389999999998"/>
    <s v="35.77"/>
    <n v="-3.9999000000000002"/>
  </r>
  <r>
    <s v="MUSTELA BEBE CLEANSING 25 W BAG"/>
    <s v=" LabExpand"/>
    <x v="69"/>
    <s v="BAGS"/>
    <s v="HYPOALLERGENIC"/>
    <n v="25"/>
    <n v="8.2699999999999996E-2"/>
    <n v="4.5199999999999997E-2"/>
    <n v="5.4999999999999997E-3"/>
    <n v="0.35360000000000003"/>
    <n v="0.2"/>
    <n v="2.5000000000000001E-2"/>
    <s v="-45.34"/>
    <n v="3.7499999999999999E-2"/>
  </r>
  <r>
    <s v="MUSTELA BEBE CLEANSING 25 W NP KAPAK"/>
    <s v=" LabExpand"/>
    <x v="69"/>
    <s v="BAGS"/>
    <s v="HYPOALLERGENIC"/>
    <n v="25"/>
    <n v="2.0510000000000002"/>
    <n v="2.5941999999999998"/>
    <n v="0.76219999999999999"/>
    <n v="8.6088000000000005"/>
    <n v="11.446400000000001"/>
    <n v="3.6349999999999998"/>
    <s v="26.48"/>
    <n v="-0.54319999999999968"/>
  </r>
  <r>
    <s v="MUSTELA BEBE STELATOPIA W 50 BAG KAPAK"/>
    <s v=" LabExpand"/>
    <x v="69"/>
    <s v="BAGS"/>
    <s v="HYPOALLERGENIC"/>
    <n v="50"/>
    <n v="10.297499999999999"/>
    <n v="4.8240999999999996"/>
    <n v="4.976"/>
    <n v="49.665700000000001"/>
    <n v="27.7622"/>
    <n v="22.308599999999998"/>
    <s v="-53.15"/>
    <n v="5.4733999999999998"/>
  </r>
  <r>
    <s v="MUSTELABEBE STELATOPIAW50KAP+BOD+BOD+BOD"/>
    <s v=" LabExpand"/>
    <x v="69"/>
    <s v="BAGS"/>
    <s v="HYPOALLERGENIC"/>
    <n v="50"/>
    <n v="0.2089"/>
    <n v="0"/>
    <n v="0"/>
    <n v="1.25"/>
    <n v="0"/>
    <n v="0"/>
    <s v="0.00"/>
    <n v="0.2089"/>
  </r>
  <r>
    <s v="MUSTELA BEBE CLEANSING 60 W BAG"/>
    <s v=" LabExpand"/>
    <x v="69"/>
    <s v="BAGS"/>
    <s v="WITHOUT EXTRA PROTECTCARE INDICATION"/>
    <n v="60"/>
    <n v="0"/>
    <n v="0"/>
    <n v="0.18790000000000001"/>
    <n v="0"/>
    <n v="0"/>
    <n v="1.0885"/>
    <s v="0.00"/>
    <n v="0"/>
  </r>
  <r>
    <s v="MUSTELA BEBE CLEANSING AVOCADO 70 W BAG"/>
    <s v=" LabExpand"/>
    <x v="69"/>
    <s v="BAGS"/>
    <s v="WITHOUT EXTRA PROTECTCARE INDICATION"/>
    <n v="70"/>
    <n v="1.4366000000000001"/>
    <n v="2.8525"/>
    <n v="1.1071"/>
    <n v="10.09"/>
    <n v="20.329999999999998"/>
    <n v="7.64"/>
    <s v="98.56"/>
    <n v="-1.4158999999999999"/>
  </r>
  <r>
    <s v="MUSTELA BEBE CLEANSING W 70 BAG KAPAK"/>
    <s v=" LabExpand"/>
    <x v="69"/>
    <s v="BAGS"/>
    <s v="HYPOALLERGENIC"/>
    <n v="70"/>
    <n v="6.5038999999999998"/>
    <n v="6.5046999999999997"/>
    <n v="1.2238"/>
    <n v="46.08"/>
    <n v="47.101700000000001"/>
    <n v="9.65"/>
    <s v="0.01"/>
    <n v="-7.9999999999991189E-4"/>
  </r>
  <r>
    <s v="MUSTELA BEBE SOOTHING ALOE VERA 70 W BAG"/>
    <s v=" LabExpand"/>
    <x v="69"/>
    <s v="BAGS"/>
    <s v="ALCOHOL FREE"/>
    <n v="70"/>
    <n v="0"/>
    <n v="6.5199999999999994E-2"/>
    <n v="0"/>
    <n v="0"/>
    <n v="0.35370000000000001"/>
    <n v="0"/>
    <s v="0.00"/>
    <n v="-6.5199999999999994E-2"/>
  </r>
  <r>
    <s v="LANSINOH BABY ALC.FREE W 80 BAG KAPAK"/>
    <s v=" LansinLab Inc"/>
    <x v="70"/>
    <s v="BAGS"/>
    <s v="ALCOHOL FREE"/>
    <n v="80"/>
    <n v="7.0000000000000001E-3"/>
    <n v="0"/>
    <n v="0"/>
    <n v="0.08"/>
    <n v="0"/>
    <n v="0"/>
    <s v="0.00"/>
    <n v="7.0000000000000001E-3"/>
  </r>
  <r>
    <s v="LARA BABY SOFT ALOE VERA W 100 BAG KAPAK"/>
    <s v=" Lara Beauty"/>
    <x v="71"/>
    <s v="BAGS"/>
    <s v="ALCOHOL FREE"/>
    <n v="100"/>
    <n v="0"/>
    <n v="0"/>
    <n v="0.80289999999999995"/>
    <n v="0"/>
    <n v="0"/>
    <n v="36.833599999999997"/>
    <s v="0.00"/>
    <n v="0"/>
  </r>
  <r>
    <s v="LARA BABY SOFT CAMOMILE W 100 BAG KAPAK"/>
    <s v=" Lara Beauty"/>
    <x v="71"/>
    <s v="BAGS"/>
    <s v="PH BALANCED"/>
    <n v="100"/>
    <n v="9.9892000000000003"/>
    <n v="8.1153999999999993"/>
    <n v="3.5836999999999999"/>
    <n v="492.51530000000002"/>
    <n v="366.96510000000001"/>
    <n v="145.6557"/>
    <s v="-18.76"/>
    <n v="1.873800000000001"/>
  </r>
  <r>
    <s v="LARA BABY SOFT GERBERA DAISY W 100 BAG"/>
    <s v=" Lara Beauty"/>
    <x v="71"/>
    <s v="BAGS"/>
    <s v="ALCOHOL FREE"/>
    <n v="100"/>
    <n v="2.3199999999999998E-2"/>
    <n v="2.375"/>
    <n v="2.0299"/>
    <n v="1.054"/>
    <n v="113.97580000000001"/>
    <n v="89.836200000000005"/>
    <s v="10137.07"/>
    <n v="-2.3517999999999999"/>
  </r>
  <r>
    <s v="LARA BABY SOFT LAVENDER W 100 BAG KAPAK"/>
    <s v=" Lara Beauty"/>
    <x v="71"/>
    <s v="BAGS"/>
    <s v="PH BALANCED"/>
    <n v="100"/>
    <n v="12.8912"/>
    <n v="14.945399999999999"/>
    <n v="2.4279000000000002"/>
    <n v="607.44449999999995"/>
    <n v="678.69550000000004"/>
    <n v="103.8368"/>
    <s v="15.93"/>
    <n v="-2.0541999999999998"/>
  </r>
  <r>
    <s v="LARA BABY SOFT WILD ROSE W 100 BAG KAPAK"/>
    <s v=" Lara Beauty"/>
    <x v="71"/>
    <s v="BAGS"/>
    <s v="WITHOUT EXTRA PROTECTCARE INDICATION"/>
    <n v="100"/>
    <n v="0"/>
    <n v="0.01"/>
    <n v="1.5183"/>
    <n v="0"/>
    <n v="0.48130000000000001"/>
    <n v="68.4452"/>
    <s v="0.00"/>
    <n v="-0.01"/>
  </r>
  <r>
    <s v="LARA BABYSOFT LEMON&amp;GRAPEFRUIT W 100 BAG"/>
    <s v=" Lara Beauty"/>
    <x v="71"/>
    <s v="BAGS"/>
    <s v="ALCOHOL FREE"/>
    <n v="100"/>
    <n v="32.355400000000003"/>
    <n v="38.555399999999999"/>
    <n v="28.667999999999999"/>
    <n v="1339.7692"/>
    <n v="1517.8848"/>
    <n v="1147.3356000000001"/>
    <s v="19.16"/>
    <n v="-6.1999999999999957"/>
  </r>
  <r>
    <s v="LARA BABY SOFT ALOE VERA W 120 BAG KAPAK"/>
    <s v=" Lara Beauty"/>
    <x v="71"/>
    <s v="BAGS"/>
    <s v="PH BALANCED"/>
    <n v="120"/>
    <n v="39.0503"/>
    <n v="53.6008"/>
    <n v="45.671900000000001"/>
    <n v="2028.7261000000001"/>
    <n v="2727.4971999999998"/>
    <n v="2409.5587999999998"/>
    <s v="37.26"/>
    <n v="-14.5505"/>
  </r>
  <r>
    <s v="LARA BABY SOFT CAMOMILE BREEZE W 120 BAG"/>
    <s v=" Lara Beauty"/>
    <x v="71"/>
    <s v="BAGS"/>
    <s v="ALCOHOL FREE"/>
    <n v="120"/>
    <n v="18.061"/>
    <n v="20.3689"/>
    <n v="25.3782"/>
    <n v="997.27200000000005"/>
    <n v="1129.9784999999999"/>
    <n v="1401.0871999999999"/>
    <s v="12.78"/>
    <n v="-2.3079000000000001"/>
  </r>
  <r>
    <s v="LARA BABY SOFT CAMOMILE W 120 BAG KAPAK"/>
    <s v=" Lara Beauty"/>
    <x v="71"/>
    <s v="BAGS"/>
    <s v="PH BALANCED"/>
    <n v="120"/>
    <n v="60.256900000000002"/>
    <n v="59.171300000000002"/>
    <n v="46.391500000000001"/>
    <n v="3003.9076"/>
    <n v="2862.6754999999998"/>
    <n v="2309.9086000000002"/>
    <s v="-1.80"/>
    <n v="1.0855999999999995"/>
  </r>
  <r>
    <s v="LARA BABY SOFT GERBER W 120 BAG KAPAK"/>
    <s v=" Lara Beauty"/>
    <x v="71"/>
    <s v="BAGS"/>
    <s v="PH BALANCED"/>
    <n v="120"/>
    <n v="20.0168"/>
    <n v="19.4117"/>
    <n v="16.676400000000001"/>
    <n v="1086.6414"/>
    <n v="1089.1328000000001"/>
    <n v="913.75469999999996"/>
    <s v="-3.02"/>
    <n v="0.60510000000000019"/>
  </r>
  <r>
    <s v="LARA BABY SOFT LAVENDER W 120 BAG KAPAK"/>
    <s v=" Lara Beauty"/>
    <x v="71"/>
    <s v="BAGS"/>
    <s v="PH BALANCED"/>
    <n v="120"/>
    <n v="15.4658"/>
    <n v="23.898299999999999"/>
    <n v="20.8841"/>
    <n v="835.59469999999999"/>
    <n v="1304.8905999999999"/>
    <n v="1122.8086000000001"/>
    <s v="54.52"/>
    <n v="-8.4324999999999992"/>
  </r>
  <r>
    <s v="LARA BABY SOFT WILD ROSE W 120 BAG KAPAK"/>
    <s v=" Lara Beauty"/>
    <x v="71"/>
    <s v="BAGS"/>
    <s v="WITHOUT EXTRA PROTECTCARE INDICATION"/>
    <n v="120"/>
    <n v="17.192699999999999"/>
    <n v="14.837400000000001"/>
    <n v="10.0755"/>
    <n v="845.18690000000004"/>
    <n v="818.97209999999995"/>
    <n v="554.23329999999999"/>
    <s v="-13.70"/>
    <n v="2.355299999999998"/>
  </r>
  <r>
    <s v="LARA BABYSOFT LEMON&amp;GRAPEFRUIT W 120 BAG"/>
    <s v=" Lara Beauty"/>
    <x v="71"/>
    <s v="BAGS"/>
    <s v="ALCOHOL FREE"/>
    <n v="120"/>
    <n v="12.4558"/>
    <n v="19.5045"/>
    <n v="19.680399999999999"/>
    <n v="695.70420000000001"/>
    <n v="1080.8305"/>
    <n v="1068.2409"/>
    <s v="56.59"/>
    <n v="-7.0487000000000002"/>
  </r>
  <r>
    <s v="LARA BABYSOFT PREMIUM ALC.FREE W 120 BAG"/>
    <s v=" Lara Beauty"/>
    <x v="71"/>
    <s v="BAGS"/>
    <s v="ALCOHOL FREE"/>
    <n v="120"/>
    <n v="29.7578"/>
    <n v="42.059199999999997"/>
    <n v="37.9373"/>
    <n v="1513.1635000000001"/>
    <n v="2139.8314999999998"/>
    <n v="1997.7666999999999"/>
    <s v="41.34"/>
    <n v="-12.301399999999997"/>
  </r>
  <r>
    <s v="LARA BABY SOFT&amp;FRESH PH5.5 W 20 BAG"/>
    <s v=" Lara Beauty"/>
    <x v="71"/>
    <s v="BAGS"/>
    <s v="PH BALANCED"/>
    <n v="20"/>
    <n v="12.4033"/>
    <n v="7.0781999999999998"/>
    <n v="1.7199"/>
    <n v="294.48759999999999"/>
    <n v="150.97989999999999"/>
    <n v="36.068199999999997"/>
    <s v="-42.93"/>
    <n v="5.3250999999999999"/>
  </r>
  <r>
    <s v="LARA BABY SOFT ALOE VERA W 40 BAG"/>
    <s v=" Lara Beauty"/>
    <x v="71"/>
    <s v="BAGS"/>
    <s v="ALCOHOL FREE"/>
    <n v="40"/>
    <n v="1.6268"/>
    <n v="0"/>
    <n v="0"/>
    <n v="65.1297"/>
    <n v="0"/>
    <n v="0"/>
    <s v="0.00"/>
    <n v="1.6268"/>
  </r>
  <r>
    <s v="LARA BABY SOFT VIT E&amp;PRO VIT B5 W 40 BAG"/>
    <s v=" Lara Beauty"/>
    <x v="71"/>
    <s v="BAGS"/>
    <s v="ALCOHOL FREE"/>
    <n v="40"/>
    <n v="2.5358999999999998"/>
    <n v="0"/>
    <n v="0"/>
    <n v="101.7274"/>
    <n v="0"/>
    <n v="0"/>
    <s v="0.00"/>
    <n v="2.5358999999999998"/>
  </r>
  <r>
    <s v="LARA CARE BABY 99%WATER PREBIOTIC W 60"/>
    <s v=" Lara Beauty"/>
    <x v="71"/>
    <s v="BAGS"/>
    <s v="WITHOUT EXTRA PROTECTCARE INDICATION"/>
    <n v="60"/>
    <n v="0"/>
    <n v="0"/>
    <n v="3.6318999999999999"/>
    <n v="0"/>
    <n v="0"/>
    <n v="71.160700000000006"/>
    <s v="0.00"/>
    <n v="0"/>
  </r>
  <r>
    <s v="LARA BABY FRESH W 72 BAG/KAPACHE"/>
    <s v=" Lara Beauty"/>
    <x v="71"/>
    <s v="BAGS"/>
    <s v="WITHOUT EXTRA PROTECTCARE INDICATION"/>
    <n v="72"/>
    <n v="17.9986"/>
    <n v="13.0489"/>
    <n v="10.643000000000001"/>
    <n v="650.62580000000003"/>
    <n v="424.79559999999998"/>
    <n v="323.3997"/>
    <s v="-27.50"/>
    <n v="4.9497"/>
  </r>
  <r>
    <s v="LARA BABY SENSITIVE PH5.5 W 72 BAG"/>
    <s v=" Lara Beauty"/>
    <x v="71"/>
    <s v="BAGS"/>
    <s v="SENSITIVE"/>
    <n v="72"/>
    <n v="18.099399999999999"/>
    <n v="12.3561"/>
    <n v="12.3432"/>
    <n v="1018.4675999999999"/>
    <n v="683.55870000000004"/>
    <n v="606.59050000000002"/>
    <s v="-31.73"/>
    <n v="5.7432999999999996"/>
  </r>
  <r>
    <s v="LARA BABY SOFT CAMOMILE W 72 BAG/KAPACHE"/>
    <s v=" Lara Beauty"/>
    <x v="71"/>
    <s v="BAGS"/>
    <s v="WITHOUT EXTRA PROTECTCARE INDICATION"/>
    <n v="72"/>
    <n v="13.9643"/>
    <n v="11.9328"/>
    <n v="7.4202000000000004"/>
    <n v="510.25119999999998"/>
    <n v="382.31479999999999"/>
    <n v="215.15559999999999"/>
    <s v="-14.55"/>
    <n v="2.0314999999999994"/>
  </r>
  <r>
    <s v="LARA BABY SOFT PH5.5 W 72 BAG"/>
    <s v=" Lara Beauty"/>
    <x v="71"/>
    <s v="BAGS"/>
    <s v="PH BALANCED"/>
    <n v="72"/>
    <n v="0"/>
    <n v="0.56559999999999999"/>
    <n v="0.19719999999999999"/>
    <n v="0"/>
    <n v="6.4855"/>
    <n v="8.6998999999999995"/>
    <s v="0.00"/>
    <n v="-0.56559999999999999"/>
  </r>
  <r>
    <s v="LARA BABY SOFT PH5.5 W 72 BAG KAPAK"/>
    <s v=" Lara Beauty"/>
    <x v="71"/>
    <s v="BAGS"/>
    <s v="PH BALANCED"/>
    <n v="72"/>
    <n v="11.936500000000001"/>
    <n v="11.3424"/>
    <n v="2.8279999999999998"/>
    <n v="494.98500000000001"/>
    <n v="456.52679999999998"/>
    <n v="127.90179999999999"/>
    <s v="-4.98"/>
    <n v="0.59410000000000096"/>
  </r>
  <r>
    <s v="LARA BABY SOFT VIT E&amp;PRO VIT B5 W 72 BAG"/>
    <s v=" Lara Beauty"/>
    <x v="71"/>
    <s v="BAGS"/>
    <s v="ALCOHOL FREE"/>
    <n v="72"/>
    <n v="16.799600000000002"/>
    <n v="11.79"/>
    <n v="3.1292"/>
    <n v="633.09360000000004"/>
    <n v="491.60489999999999"/>
    <n v="123.1259"/>
    <s v="-29.82"/>
    <n v="5.0096000000000025"/>
  </r>
  <r>
    <s v="LARA BABY SOFT&amp;FRESH W 72 BAG"/>
    <s v=" Lara Beauty"/>
    <x v="71"/>
    <s v="BAGS"/>
    <s v="PH BALANCED"/>
    <n v="72"/>
    <n v="15.0557"/>
    <n v="9.7439"/>
    <n v="7.3936000000000002"/>
    <n v="945.80409999999995"/>
    <n v="583.28309999999999"/>
    <n v="424.78879999999998"/>
    <s v="-35.28"/>
    <n v="5.3117999999999999"/>
  </r>
  <r>
    <s v="LARA BABY SPECIAL FORMULA VIT E W 72 BAG"/>
    <s v=" Lara Beauty"/>
    <x v="71"/>
    <s v="BAGS"/>
    <s v="PH BALANCED"/>
    <n v="72"/>
    <n v="2.5228000000000002"/>
    <n v="0"/>
    <n v="0"/>
    <n v="102.04300000000001"/>
    <n v="0"/>
    <n v="0"/>
    <s v="0.00"/>
    <n v="2.5228000000000002"/>
  </r>
  <r>
    <s v="LARA BABY SOFT ALOE VERA W 80 BAG KAPAK"/>
    <s v=" Lara Beauty"/>
    <x v="71"/>
    <s v="BAGS"/>
    <s v="ALCOHOL FREE"/>
    <n v="80"/>
    <n v="5.8501000000000003"/>
    <n v="3.1604999999999999"/>
    <n v="1.1102000000000001"/>
    <n v="279.7971"/>
    <n v="133.69110000000001"/>
    <n v="49.716799999999999"/>
    <s v="-45.98"/>
    <n v="2.6896000000000004"/>
  </r>
  <r>
    <s v="LARA BABY SOFT WILD ROSE W 80 BAG KAPAK"/>
    <s v=" Lara Beauty"/>
    <x v="71"/>
    <s v="BAGS"/>
    <s v="WITHOUT EXTRA PROTECTCARE INDICATION"/>
    <n v="80"/>
    <n v="3.5649999999999999"/>
    <n v="3.9624000000000001"/>
    <n v="3.0468999999999999"/>
    <n v="186.07509999999999"/>
    <n v="188.92570000000001"/>
    <n v="146.31370000000001"/>
    <s v="11.15"/>
    <n v="-0.3974000000000002"/>
  </r>
  <r>
    <s v="LARA BABYSOFT CAMOMILEBREEZ.W 80 BAG KAP"/>
    <s v=" Lara Beauty"/>
    <x v="71"/>
    <s v="BAGS"/>
    <s v="ALCOHOL FREE"/>
    <n v="80"/>
    <n v="4.5880999999999998"/>
    <n v="5.0932000000000004"/>
    <n v="5.0259"/>
    <n v="237.0685"/>
    <n v="259.80410000000001"/>
    <n v="248.8639"/>
    <s v="11.01"/>
    <n v="-0.50510000000000055"/>
  </r>
  <r>
    <s v="LARA BABY SOFT EXTRA W 96 BAG/KAPACHE"/>
    <s v=" Lara Beauty"/>
    <x v="71"/>
    <s v="BAGS"/>
    <s v="WITHOUT EXTRA PROTECTCARE INDICATION"/>
    <n v="96"/>
    <n v="0"/>
    <n v="7.0000000000000001E-3"/>
    <n v="0"/>
    <n v="0"/>
    <n v="0.32779999999999998"/>
    <n v="0"/>
    <s v="0.00"/>
    <n v="-7.0000000000000001E-3"/>
  </r>
  <r>
    <s v="PUFY FRESH GERBERA PH5.5 W 120 BAG"/>
    <s v=" Lara Beauty"/>
    <x v="72"/>
    <s v="BAGS"/>
    <s v="PH BALANCED"/>
    <n v="120"/>
    <n v="3.0200000000000001E-2"/>
    <n v="2.0104000000000002"/>
    <n v="1.0045999999999999"/>
    <n v="1.4571000000000001"/>
    <n v="118.0438"/>
    <n v="56.873399999999997"/>
    <s v="6556.95"/>
    <n v="-1.9802000000000002"/>
  </r>
  <r>
    <s v="TOP BLITZ CREAM VIT E W 72 BAG"/>
    <s v=" Lara Beauty"/>
    <x v="73"/>
    <s v="BAGS"/>
    <s v="WITHOUT EXTRA PROTECTCARE INDICATION"/>
    <n v="72"/>
    <n v="0.1913"/>
    <n v="0.55200000000000005"/>
    <n v="4.3700000000000003E-2"/>
    <n v="6.9211999999999998"/>
    <n v="19.9695"/>
    <n v="1.2094"/>
    <s v="188.55"/>
    <n v="-0.36070000000000002"/>
  </r>
  <r>
    <s v="CONFY BABY PH5.5 W 40 BAG"/>
    <s v=" LeaderHealthFood"/>
    <x v="74"/>
    <s v="BAGS"/>
    <s v="PH BALANCED"/>
    <n v="40"/>
    <n v="2.6700000000000002E-2"/>
    <n v="6.6E-3"/>
    <n v="0"/>
    <n v="1.3361000000000001"/>
    <n v="0.32919999999999999"/>
    <n v="0"/>
    <s v="-75.28"/>
    <n v="2.01E-2"/>
  </r>
  <r>
    <s v="CONFY BABY SENSITIVE W 90 BAG"/>
    <s v=" LeaderHealthFood"/>
    <x v="74"/>
    <s v="BAGS"/>
    <s v="SENSITIVE"/>
    <n v="90"/>
    <n v="6.93E-2"/>
    <n v="0.19889999999999999"/>
    <n v="0"/>
    <n v="3.0247000000000002"/>
    <n v="8.6912000000000003"/>
    <n v="0"/>
    <s v="187.01"/>
    <n v="-0.12959999999999999"/>
  </r>
  <r>
    <s v="CONFY BABY SENSITIVE W 90 BAG PINK"/>
    <s v=" LeaderHealthFood"/>
    <x v="74"/>
    <s v="BAGS"/>
    <s v="SENSITIVE"/>
    <n v="90"/>
    <n v="7.6300000000000007E-2"/>
    <n v="0.42759999999999998"/>
    <n v="0.15670000000000001"/>
    <n v="3.4260000000000002"/>
    <n v="18.685099999999998"/>
    <n v="6.8449999999999998"/>
    <s v="460.42"/>
    <n v="-0.35129999999999995"/>
  </r>
  <r>
    <s v="MIMOSA BABY ALOE VERA 64 BAG"/>
    <s v=" GlobalMap"/>
    <x v="75"/>
    <s v="BAGS"/>
    <s v="WITHOUT EXTRA PROTECTCARE INDICATION"/>
    <n v="64"/>
    <n v="13.539"/>
    <n v="14.939299999999999"/>
    <n v="5.9192"/>
    <n v="399.25150000000002"/>
    <n v="471.38619999999997"/>
    <n v="172.6644"/>
    <s v="10.34"/>
    <n v="-1.4002999999999997"/>
  </r>
  <r>
    <s v="MIMOSA BABY CHAMOMILE 64 BAG"/>
    <s v=" GlobalMap"/>
    <x v="75"/>
    <s v="BAGS"/>
    <s v="WITHOUT EXTRA PROTECTCARE INDICATION"/>
    <n v="64"/>
    <n v="9.7232000000000003"/>
    <n v="14.417199999999999"/>
    <n v="5.9874999999999998"/>
    <n v="300.88780000000003"/>
    <n v="488.67129999999997"/>
    <n v="199.4579"/>
    <s v="48.28"/>
    <n v="-4.6939999999999991"/>
  </r>
  <r>
    <s v="MIMOSA BABY PH5.5 72 BAG KAPAK"/>
    <s v=" GlobalMap"/>
    <x v="75"/>
    <s v="BAGS"/>
    <s v="PH BALANCED"/>
    <n v="72"/>
    <n v="0.4834"/>
    <n v="0"/>
    <n v="0"/>
    <n v="12.901899999999999"/>
    <n v="0"/>
    <n v="0"/>
    <s v="0.00"/>
    <n v="0.4834"/>
  </r>
  <r>
    <s v="SENCE BABY SENSITIVE PH5.5 W 60 BAG"/>
    <s v=" PrimeBrands Marketing B.V."/>
    <x v="76"/>
    <s v="BAGS"/>
    <s v="SENSITIVE"/>
    <n v="60"/>
    <n v="0.13550000000000001"/>
    <n v="0"/>
    <n v="0"/>
    <n v="3.2519"/>
    <n v="0"/>
    <n v="0"/>
    <s v="0.00"/>
    <n v="0.13550000000000001"/>
  </r>
  <r>
    <s v="BABY CARE CHAMOMILE 4X12/2FR BAG"/>
    <s v=" Giga S.A."/>
    <x v="77"/>
    <s v="BAGS"/>
    <s v="ALCOHOL FREE &amp; HYPOALLERGENIC"/>
    <n v="12"/>
    <n v="0"/>
    <n v="2.3E-3"/>
    <n v="0"/>
    <n v="0"/>
    <n v="4.8000000000000001E-2"/>
    <n v="0"/>
    <s v="0.00"/>
    <n v="-2.3E-3"/>
  </r>
  <r>
    <s v="BABY CARE CHAMOMILE W 12 BAG"/>
    <s v=" Giga S.A."/>
    <x v="77"/>
    <s v="BAGS"/>
    <s v="ALCOHOL FREE &amp; HYPOALLERGENIC"/>
    <n v="12"/>
    <n v="3.7978999999999998"/>
    <n v="0.23119999999999999"/>
    <n v="5.57E-2"/>
    <n v="45.909399999999998"/>
    <n v="3.0430999999999999"/>
    <n v="0.74270000000000003"/>
    <s v="-93.91"/>
    <n v="3.5667"/>
  </r>
  <r>
    <s v="BABY CARE CHAMOMILE W 3X12/1FR BAG"/>
    <s v=" Giga S.A."/>
    <x v="77"/>
    <s v="BAGS"/>
    <s v="ALCOHOL FREE &amp; HYPOALLERGENIC"/>
    <n v="12"/>
    <n v="10.1713"/>
    <n v="1.4034"/>
    <n v="0.79169999999999996"/>
    <n v="191.46350000000001"/>
    <n v="25.065200000000001"/>
    <n v="12.493499999999999"/>
    <s v="-86.20"/>
    <n v="8.7679000000000009"/>
  </r>
  <r>
    <s v="BABY CARE TRAVEL CHAMOMILE 20 BAG"/>
    <s v=" Giga S.A."/>
    <x v="77"/>
    <s v="BAGS"/>
    <s v="ALCOHOL FREE &amp; HYPOALLERGENIC"/>
    <n v="20"/>
    <n v="8.9099999999999999E-2"/>
    <n v="0"/>
    <n v="0"/>
    <n v="1.4943"/>
    <n v="0"/>
    <n v="0"/>
    <s v="0.00"/>
    <n v="8.9099999999999999E-2"/>
  </r>
  <r>
    <s v="BABY CARE CLAMING PURE WATER 63 BAG"/>
    <s v=" Giga S.A."/>
    <x v="77"/>
    <s v="BAGS"/>
    <s v="WITHOUT EXTRA PROTECTCARE INDICATION"/>
    <n v="63"/>
    <n v="16.7622"/>
    <n v="54.880099999999999"/>
    <n v="30.8141"/>
    <n v="558.82709999999997"/>
    <n v="1712.2448999999999"/>
    <n v="842.72770000000003"/>
    <s v="227.40"/>
    <n v="-38.117899999999999"/>
  </r>
  <r>
    <s v="BABY CARE PURE COTTON EXTRACT 63 BAG"/>
    <s v=" Giga S.A."/>
    <x v="77"/>
    <s v="BAGS"/>
    <s v="WITHOUT EXTRA PROTECTCARE INDICATION"/>
    <n v="63"/>
    <n v="61.024299999999997"/>
    <n v="69.369399999999999"/>
    <n v="37.2607"/>
    <n v="1986.0632000000001"/>
    <n v="2074.7809000000002"/>
    <n v="1026.0545999999999"/>
    <s v="13.68"/>
    <n v="-8.3451000000000022"/>
  </r>
  <r>
    <s v="BABY CARE SENSITIVE OLIVE EXTRACT 63 BAG"/>
    <s v=" Giga S.A."/>
    <x v="77"/>
    <s v="BAGS"/>
    <s v="SENSITIVE"/>
    <n v="63"/>
    <n v="99.720299999999995"/>
    <n v="82.962900000000005"/>
    <n v="1.6460999999999999"/>
    <n v="3124.0421999999999"/>
    <n v="2460.6639"/>
    <n v="45.897799999999997"/>
    <s v="-16.80"/>
    <n v="16.75739999999999"/>
  </r>
  <r>
    <s v="BABY CARE TRAVEL CHAMOMILE 72 BAG RE"/>
    <s v=" Giga S.A."/>
    <x v="77"/>
    <s v="BAGS"/>
    <s v="WITHOUT EXTRA PROTECTCARE INDICATION"/>
    <n v="72"/>
    <n v="86.361699999999999"/>
    <n v="101.56570000000001"/>
    <n v="54.776899999999998"/>
    <n v="3022.1621"/>
    <n v="3499.3182999999999"/>
    <n v="1704.9738"/>
    <s v="17.61"/>
    <n v="-15.204000000000008"/>
  </r>
  <r>
    <s v="BABY LINO SENSITIVE CHAMOMILE W 54 BAG"/>
    <s v=" Giga S.A."/>
    <x v="78"/>
    <s v="BAGS"/>
    <s v="SENSITIVE"/>
    <n v="54"/>
    <n v="23.7104"/>
    <n v="2.5188000000000001"/>
    <n v="0.15770000000000001"/>
    <n v="549.04570000000001"/>
    <n v="49.080599999999997"/>
    <n v="2.9064000000000001"/>
    <s v="-89.38"/>
    <n v="21.191600000000001"/>
  </r>
  <r>
    <s v="BABYLINO SENSITIVE ARNIKACHAMOMILE W 54"/>
    <s v=" Giga S.A."/>
    <x v="78"/>
    <s v="BAGS"/>
    <s v="SENSITIVE"/>
    <n v="54"/>
    <n v="34.488300000000002"/>
    <n v="5.6889000000000003"/>
    <n v="0.2626"/>
    <n v="739.96220000000005"/>
    <n v="104.66840000000001"/>
    <n v="4.7222"/>
    <s v="-83.50"/>
    <n v="28.799400000000002"/>
  </r>
  <r>
    <s v="BABYLINO SENSITIVE CHAMOMILE W 54+10 BAG"/>
    <s v=" Giga S.A."/>
    <x v="78"/>
    <s v="BAGS"/>
    <s v="SENSITIVE"/>
    <n v="54"/>
    <n v="0.31869999999999998"/>
    <n v="0"/>
    <n v="0"/>
    <n v="6.5327000000000002"/>
    <n v="0"/>
    <n v="0"/>
    <s v="0.00"/>
    <n v="0.31869999999999998"/>
  </r>
  <r>
    <s v="BABYLINO SENSITIVE CHAMOMILE W 54+WIP 10"/>
    <s v=" Giga S.A."/>
    <x v="78"/>
    <s v="BAGS"/>
    <s v="SENSITIVE"/>
    <n v="54"/>
    <n v="7.1499999999999994E-2"/>
    <n v="0"/>
    <n v="0"/>
    <n v="1.2682"/>
    <n v="0"/>
    <n v="0"/>
    <s v="0.00"/>
    <n v="7.1499999999999994E-2"/>
  </r>
  <r>
    <s v="L'UNICO BABY OLIO DI ARGAN HYPO.W 72 BAG"/>
    <s v=" MontraWorld"/>
    <x v="79"/>
    <s v="BAGS"/>
    <s v="HYPOALLERGENIC"/>
    <n v="72"/>
    <n v="0"/>
    <n v="6.2138"/>
    <n v="8.77E-2"/>
    <n v="0"/>
    <n v="384.83499999999998"/>
    <n v="5.7408999999999999"/>
    <s v="0.00"/>
    <n v="-6.2138"/>
  </r>
  <r>
    <s v="BIG SOFT SENSITIVE WITH CREAM 100 BAG"/>
    <s v=" Moratex Group / Tobi MegaGroup LTD"/>
    <x v="80"/>
    <s v="BAGS"/>
    <s v="SENSITIVE"/>
    <n v="100"/>
    <n v="2.8529"/>
    <n v="0"/>
    <n v="0"/>
    <n v="195.97380000000001"/>
    <n v="0"/>
    <n v="0"/>
    <s v="0.00"/>
    <n v="2.8529"/>
  </r>
  <r>
    <s v="BIGSOFT SENSITIVEWITHCREAM 100 BAG KAPAK"/>
    <s v=" Moratex Group / Tobi MegaGroup LTD"/>
    <x v="80"/>
    <s v="BAGS"/>
    <s v="SENSITIVE"/>
    <n v="100"/>
    <n v="13.515499999999999"/>
    <n v="1.9742999999999999"/>
    <n v="2.98E-2"/>
    <n v="813.32730000000004"/>
    <n v="103.7679"/>
    <n v="1.4246000000000001"/>
    <s v="-85.39"/>
    <n v="11.5412"/>
  </r>
  <r>
    <s v="BIG SOFT CREAM SENS.PH5.5 W 120 BAG"/>
    <s v=" Moratex Group / Tobi MegaGroup LTD"/>
    <x v="80"/>
    <s v="BAGS"/>
    <s v="SENSITIVE"/>
    <n v="120"/>
    <n v="0"/>
    <n v="47.540100000000002"/>
    <n v="13.0617"/>
    <n v="0"/>
    <n v="2356.4949999999999"/>
    <n v="720.12469999999996"/>
    <s v="0.00"/>
    <n v="-47.540100000000002"/>
  </r>
  <r>
    <s v="BIG SOFT SENSITIVE OLIVE OIL ALOE 70 BAG"/>
    <s v=" Moratex Group / Tobi MegaGroup LTD"/>
    <x v="80"/>
    <s v="BAGS"/>
    <s v="SENSITIVE"/>
    <n v="70"/>
    <n v="4.0548000000000002"/>
    <n v="2.4268999999999998"/>
    <n v="0"/>
    <n v="220.69159999999999"/>
    <n v="134.58930000000001"/>
    <n v="0"/>
    <s v="-40.15"/>
    <n v="1.6279000000000003"/>
  </r>
  <r>
    <s v="HAPPY FAMILY BABY PH5.5 W 70 BAG"/>
    <s v=" Moratex Group / Tobi MegaGroup LTD"/>
    <x v="81"/>
    <s v="BAGS"/>
    <s v="PH BALANCED"/>
    <n v="70"/>
    <n v="42.300199999999997"/>
    <n v="20.829499999999999"/>
    <n v="4.8948"/>
    <n v="2912.5239999999999"/>
    <n v="1143.2672"/>
    <n v="245.0727"/>
    <s v="-50.76"/>
    <n v="21.470699999999997"/>
  </r>
  <r>
    <s v="MORS CHAMOMILE PH5.5 W 120 BAG KAPAK"/>
    <s v=" MoreBeauty"/>
    <x v="82"/>
    <s v="BAGS"/>
    <s v="PH BALANCED"/>
    <n v="120"/>
    <n v="12.6196"/>
    <n v="0.30170000000000002"/>
    <n v="0"/>
    <n v="774.8818"/>
    <n v="18.222799999999999"/>
    <n v="0"/>
    <s v="-97.61"/>
    <n v="12.3179"/>
  </r>
  <r>
    <s v="WIPEST COMFORT ALC.FREE W 120 BAG KAPAK"/>
    <s v=" MoreBeauty"/>
    <x v="83"/>
    <s v="BAGS"/>
    <s v="ALCOHOL FREE"/>
    <n v="120"/>
    <n v="0"/>
    <n v="39.128300000000003"/>
    <n v="18.019200000000001"/>
    <n v="0"/>
    <n v="2116.4569999999999"/>
    <n v="1056.0386000000001"/>
    <s v="0.00"/>
    <n v="-39.128300000000003"/>
  </r>
  <r>
    <s v="WIPEST COMFORT ALC.FREE W 72 BAG KAPAK"/>
    <s v=" MoreBeauty"/>
    <x v="83"/>
    <s v="BAGS"/>
    <s v="ALCOHOL FREE"/>
    <n v="72"/>
    <n v="14.5854"/>
    <n v="45.532299999999999"/>
    <n v="49.915700000000001"/>
    <n v="930.23509999999999"/>
    <n v="2490.5082000000002"/>
    <n v="2411.3348000000001"/>
    <s v="212.18"/>
    <n v="-30.946899999999999"/>
  </r>
  <r>
    <s v="NATY SENSITIVE ALOE VERA W 56 BAG"/>
    <s v=" NaturalCo AB"/>
    <x v="84"/>
    <s v="BAGS"/>
    <s v="SENSITIVE"/>
    <n v="56"/>
    <n v="0.1139"/>
    <n v="4.0300000000000002E-2"/>
    <n v="0"/>
    <n v="0.85599999999999998"/>
    <n v="0.30399999999999999"/>
    <n v="0"/>
    <s v="-64.62"/>
    <n v="7.3599999999999999E-2"/>
  </r>
  <r>
    <s v="NATY SENSITIVE W 56 BAG NATY AB"/>
    <s v=" NaturalCo AB"/>
    <x v="84"/>
    <s v="BAGS"/>
    <s v="SENSITIVE"/>
    <n v="56"/>
    <n v="0.19919999999999999"/>
    <n v="0"/>
    <n v="0"/>
    <n v="1.496"/>
    <n v="0"/>
    <n v="0"/>
    <s v="0.00"/>
    <n v="0.19919999999999999"/>
  </r>
  <r>
    <s v="FRESH BABY PREMIUM ALC.FREE W 100 BAG"/>
    <s v=" Voyage Turkey"/>
    <x v="85"/>
    <s v="BAGS"/>
    <s v="ALCOHOL FREE"/>
    <n v="100"/>
    <n v="4.4461000000000004"/>
    <n v="2.0626000000000002"/>
    <n v="0"/>
    <n v="234.7319"/>
    <n v="137.5095"/>
    <n v="0"/>
    <s v="-53.61"/>
    <n v="2.3835000000000002"/>
  </r>
  <r>
    <s v="FRESH BABY PH5.5 W 15 BAG"/>
    <s v=" Voyage Turkey"/>
    <x v="85"/>
    <s v="BAGS"/>
    <s v="PH BALANCED"/>
    <n v="15"/>
    <n v="0.15609999999999999"/>
    <n v="2.98E-2"/>
    <n v="0.25540000000000002"/>
    <n v="9.3703000000000003"/>
    <n v="1.4905999999999999"/>
    <n v="12.7729"/>
    <s v="-80.91"/>
    <n v="0.1263"/>
  </r>
  <r>
    <s v="FRESH BABY WATER 99.9% W 60 BAG"/>
    <s v=" Voyage Turkey"/>
    <x v="85"/>
    <s v="BAGS"/>
    <s v="WITHOUT EXTRA PROTECTCARE INDICATION"/>
    <n v="60"/>
    <n v="1.8445"/>
    <n v="0"/>
    <n v="0"/>
    <n v="41.871899999999997"/>
    <n v="0"/>
    <n v="0"/>
    <s v="0.00"/>
    <n v="1.8445"/>
  </r>
  <r>
    <s v="FRESH BABY P H5.5 W 72 BAG"/>
    <s v=" Voyage Turkey"/>
    <x v="85"/>
    <s v="BAGS"/>
    <s v="PH BALANCED"/>
    <n v="72"/>
    <n v="0.57199999999999995"/>
    <n v="0"/>
    <n v="0"/>
    <n v="34.318100000000001"/>
    <n v="0"/>
    <n v="0"/>
    <s v="0.00"/>
    <n v="0.57199999999999995"/>
  </r>
  <r>
    <s v="FRESH BABY PH5.5 W 72 BAG KAPAK"/>
    <s v=" Voyage Turkey"/>
    <x v="85"/>
    <s v="BAGS"/>
    <s v="PH BALANCED"/>
    <n v="72"/>
    <n v="10.123900000000001"/>
    <n v="4.3895"/>
    <n v="0"/>
    <n v="617.78060000000005"/>
    <n v="241.07740000000001"/>
    <n v="0"/>
    <s v="-56.64"/>
    <n v="5.7344000000000008"/>
  </r>
  <r>
    <s v="GOLDEN SENSITIVE W 120 BAG"/>
    <s v=" Voyage Turkey"/>
    <x v="86"/>
    <s v="BAGS"/>
    <s v="SENSITIVE"/>
    <n v="120"/>
    <n v="0"/>
    <n v="56.203800000000001"/>
    <n v="22.180299999999999"/>
    <n v="0"/>
    <n v="3259.8697999999999"/>
    <n v="1260.6195"/>
    <s v="0.00"/>
    <n v="-56.203800000000001"/>
  </r>
  <r>
    <s v="GOLDEN SENSITIVE W 72 BAG"/>
    <s v=" Voyage Turkey"/>
    <x v="86"/>
    <s v="BAGS"/>
    <s v="SENSITIVE"/>
    <n v="72"/>
    <n v="0"/>
    <n v="15.356400000000001"/>
    <n v="10.720599999999999"/>
    <n v="0"/>
    <n v="847.21910000000003"/>
    <n v="534.71069999999997"/>
    <s v="0.00"/>
    <n v="-15.356400000000001"/>
  </r>
  <r>
    <s v="MY FIX BABY ROSE FRESH W 80 BAG KAPAK"/>
    <s v=" Voyage Turkey"/>
    <x v="87"/>
    <s v="BAGS"/>
    <s v="WITHOUT EXTRA PROTECTCARE INDICATION"/>
    <n v="80"/>
    <n v="1.0731999999999999"/>
    <n v="0"/>
    <n v="0"/>
    <n v="47.075600000000001"/>
    <n v="0"/>
    <n v="0"/>
    <s v="0.00"/>
    <n v="1.0731999999999999"/>
  </r>
  <r>
    <s v="PUFFY BABY SENSITIVE PURE W 88 BAG KAPAK"/>
    <s v=" Voyage Turkey"/>
    <x v="88"/>
    <s v="BAGS"/>
    <s v="SENSITIVE"/>
    <n v="88"/>
    <n v="2.6486999999999998"/>
    <n v="0"/>
    <n v="0"/>
    <n v="124.62050000000001"/>
    <n v="0"/>
    <n v="0"/>
    <s v="0.00"/>
    <n v="2.6486999999999998"/>
  </r>
  <r>
    <s v="TITO BABY SOFT COMFORT PH5.5 W 120 BAG"/>
    <s v=" Voyage Turkey"/>
    <x v="89"/>
    <s v="BAGS"/>
    <s v="PH BALANCED"/>
    <n v="120"/>
    <n v="84.095799999999997"/>
    <n v="151.49979999999999"/>
    <n v="39.488900000000001"/>
    <n v="4863.5491000000002"/>
    <n v="8687.4974999999995"/>
    <n v="2240.9688000000001"/>
    <s v="80.15"/>
    <n v="-67.403999999999996"/>
  </r>
  <r>
    <s v="TITO BABY PH5.5 ALC.FREE W 72 BAG KAPAK"/>
    <s v=" Voyage Turkey"/>
    <x v="89"/>
    <s v="BAGS"/>
    <s v="PH BALANCED"/>
    <n v="72"/>
    <n v="24.440899999999999"/>
    <n v="13.931900000000001"/>
    <n v="5.4257"/>
    <n v="1419.3269"/>
    <n v="757.8877"/>
    <n v="289.12630000000001"/>
    <s v="-43.00"/>
    <n v="10.508999999999999"/>
  </r>
  <r>
    <s v="TITO BABY SOFT COMFORT PH5.5 W 72 BAG"/>
    <s v=" Voyage Turkey"/>
    <x v="89"/>
    <s v="BAGS"/>
    <s v="PH BALANCED"/>
    <n v="72"/>
    <n v="2.0893000000000002"/>
    <n v="2.5973000000000002"/>
    <n v="0.1109"/>
    <n v="135.5565"/>
    <n v="141.02850000000001"/>
    <n v="6.4691999999999998"/>
    <s v="24.31"/>
    <n v="-0.50800000000000001"/>
  </r>
  <r>
    <s v="FRESH BABY PREM.QUALITY PH5.5 W 120 BAG"/>
    <s v=" Nur Food Industry"/>
    <x v="85"/>
    <s v="BAGS"/>
    <s v="PH BALANCED"/>
    <n v="120"/>
    <n v="6.1833"/>
    <n v="0.61119999999999997"/>
    <n v="0"/>
    <n v="392.1592"/>
    <n v="31.181999999999999"/>
    <n v="0"/>
    <s v="-90.12"/>
    <n v="5.5720999999999998"/>
  </r>
  <r>
    <s v="PUFY BABY CHAMOMILE PH5.5 W 120 BAG"/>
    <s v=" Nur Food Industry"/>
    <x v="90"/>
    <s v="BAGS"/>
    <s v="PH BALANCED"/>
    <n v="120"/>
    <n v="2.5480999999999998"/>
    <n v="2.6009000000000002"/>
    <n v="0"/>
    <n v="132.16820000000001"/>
    <n v="141.76490000000001"/>
    <n v="0"/>
    <s v="2.07"/>
    <n v="-5.2800000000000402E-2"/>
  </r>
  <r>
    <s v="SPEEDYCARE BABYLINECONCREMAMAXI 20 BAG"/>
    <s v=" O-Package S.R.L."/>
    <x v="91"/>
    <s v="BAGS"/>
    <s v="HYPOALLERGENIC"/>
    <n v="20"/>
    <n v="0.15809999999999999"/>
    <n v="2E-3"/>
    <n v="1E-3"/>
    <n v="2.1"/>
    <n v="0.02"/>
    <n v="0.02"/>
    <s v="-98.73"/>
    <n v="0.15609999999999999"/>
  </r>
  <r>
    <s v="CAN BEBE BASIC CARE ALK.FREE W 56 BAG"/>
    <s v=" OnTop"/>
    <x v="92"/>
    <s v="BAGS"/>
    <s v="ALCOHOL FREE"/>
    <n v="56"/>
    <n v="6.0000000000000001E-3"/>
    <n v="0.35439999999999999"/>
    <n v="0"/>
    <n v="0.33839999999999998"/>
    <n v="16.541699999999999"/>
    <n v="0"/>
    <s v="5806.67"/>
    <n v="-0.34839999999999999"/>
  </r>
  <r>
    <s v="KOPRINA  FreshClean 72 W BAG KAPAK"/>
    <s v=" CrescentTextile SAN"/>
    <x v="93"/>
    <s v="BAGS"/>
    <s v="PH BALANCED"/>
    <n v="72"/>
    <n v="0"/>
    <n v="0"/>
    <n v="9.8000000000000004E-2"/>
    <n v="0"/>
    <n v="0"/>
    <n v="3.3592"/>
    <s v="0.00"/>
    <n v="0"/>
  </r>
  <r>
    <s v="BEBIKO VIP BABY ALOE VERA W 72 BAG KAPAK"/>
    <s v=" PakChem"/>
    <x v="94"/>
    <s v="BAGS"/>
    <s v="WITHOUT EXTRA PROTECTCARE INDICATION"/>
    <n v="72"/>
    <n v="0"/>
    <n v="0.79349999999999998"/>
    <n v="0.7298"/>
    <n v="0"/>
    <n v="47.268799999999999"/>
    <n v="43.602699999999999"/>
    <s v="0.00"/>
    <n v="-0.79349999999999998"/>
  </r>
  <r>
    <s v="PAPATYA BABY B5&amp;VIT E PH5.5 90 W BAG"/>
    <s v=" Daisy Cotton Cosmetics"/>
    <x v="95"/>
    <s v="BAGS"/>
    <s v="PH BALANCED"/>
    <n v="90"/>
    <n v="0.36020000000000002"/>
    <n v="5.21E-2"/>
    <n v="9.4000000000000004E-3"/>
    <n v="19.065100000000001"/>
    <n v="2.6206"/>
    <n v="0.48"/>
    <s v="-85.54"/>
    <n v="0.30810000000000004"/>
  </r>
  <r>
    <s v="PERFETTO PH5.5 ALC.FREE W 80 BAG"/>
    <s v=" IdealGroup"/>
    <x v="96"/>
    <s v="BAGS"/>
    <s v="PH BALANCED"/>
    <n v="80"/>
    <n v="0"/>
    <n v="0"/>
    <n v="2.0999999999999999E-3"/>
    <n v="0"/>
    <n v="0"/>
    <n v="0.17710000000000001"/>
    <s v="0.00"/>
    <n v="0"/>
  </r>
  <r>
    <s v="BETTY BABY ALC.FREE W 24 BAG"/>
    <s v=" PhoenixMedicine DOO"/>
    <x v="97"/>
    <s v="BAGS"/>
    <s v="ALCOHOL FREE"/>
    <n v="24"/>
    <n v="1.4545999999999999"/>
    <n v="0.15629999999999999"/>
    <n v="5.8099999999999999E-2"/>
    <n v="31.957999999999998"/>
    <n v="3.1030000000000002"/>
    <n v="1.1613"/>
    <s v="-89.25"/>
    <n v="1.2982999999999998"/>
  </r>
  <r>
    <s v="BETTY BABY ALC.FREE W 72 BAG"/>
    <s v=" PhoenixMedicine DOO"/>
    <x v="97"/>
    <s v="BAGS"/>
    <s v="ALCOHOL FREE"/>
    <n v="72"/>
    <n v="0.69610000000000005"/>
    <n v="0"/>
    <n v="0"/>
    <n v="23.8918"/>
    <n v="0"/>
    <n v="0"/>
    <s v="0.00"/>
    <n v="0.69610000000000005"/>
  </r>
  <r>
    <s v="KLORANE BEBE CALENDULA ALC.FREE W 25 BAG"/>
    <s v=" FabreStone"/>
    <x v="98"/>
    <s v="BAGS"/>
    <s v="ALCOHOL FREE"/>
    <n v="25"/>
    <n v="0.83640000000000003"/>
    <n v="0.55679999999999996"/>
    <n v="0.16950000000000001"/>
    <n v="3.2871000000000001"/>
    <n v="1.9970000000000001"/>
    <n v="0.75749999999999995"/>
    <s v="-33.43"/>
    <n v="0.27960000000000007"/>
  </r>
  <r>
    <s v="KLORANE BEBE CALENDULA CLEAN.LOTION W 70"/>
    <s v=" FabreStone"/>
    <x v="98"/>
    <s v="BAGS"/>
    <s v="ALCOHOL FREE"/>
    <n v="70"/>
    <n v="1.8599999999999998E-2"/>
    <n v="0"/>
    <n v="0"/>
    <n v="0.14000000000000001"/>
    <n v="0"/>
    <n v="0"/>
    <s v="0.00"/>
    <n v="1.8599999999999998E-2"/>
  </r>
  <r>
    <s v="KLORANE BEBE CALENDULA THICKCL. W 70 BAG"/>
    <s v=" FabreStone"/>
    <x v="98"/>
    <s v="BAGS"/>
    <s v="ALCOHOL FREE"/>
    <n v="70"/>
    <n v="0.34599999999999997"/>
    <n v="0.3881"/>
    <n v="0.2717"/>
    <n v="2.4157999999999999"/>
    <n v="2.4979"/>
    <n v="1.68"/>
    <s v="12.17"/>
    <n v="-4.2100000000000026E-2"/>
  </r>
  <r>
    <s v="KLORANE BEBE CALENDULA W 70 SP.TS. BAG"/>
    <s v=" FabreStone"/>
    <x v="98"/>
    <s v="BAGS"/>
    <s v="ALCOHOL FREE"/>
    <n v="70"/>
    <n v="0.25569999999999998"/>
    <n v="2.6200000000000001E-2"/>
    <n v="0"/>
    <n v="2.27"/>
    <n v="0.31"/>
    <n v="0"/>
    <s v="-89.75"/>
    <n v="0.22949999999999998"/>
  </r>
  <r>
    <s v="FRESH BABY ALOE&amp;CALEN. PH5.5 W 60 BAG"/>
    <s v=" Pyramid72 DOO"/>
    <x v="85"/>
    <s v="BAGS"/>
    <s v="PH BALANCED"/>
    <n v="60"/>
    <n v="4.2514000000000003"/>
    <n v="9.5349000000000004"/>
    <n v="4.3247999999999998"/>
    <n v="118.9742"/>
    <n v="264.43900000000002"/>
    <n v="116.2043"/>
    <s v="124.28"/>
    <n v="-5.2835000000000001"/>
  </r>
  <r>
    <s v="FRESH BABY AQUA PURE PH5.5 W 60 BAG"/>
    <s v=" Pyramid72 DOO"/>
    <x v="85"/>
    <s v="BAGS"/>
    <s v="PH BALANCED"/>
    <n v="60"/>
    <n v="0"/>
    <n v="3.1814"/>
    <n v="1.8621000000000001"/>
    <n v="0"/>
    <n v="84.536500000000004"/>
    <n v="48.9773"/>
    <s v="0.00"/>
    <n v="-3.1814"/>
  </r>
  <r>
    <s v="FRESH BABY CARE ALOE VERA W 60 BAG"/>
    <s v=" Pyramid72 DOO"/>
    <x v="85"/>
    <s v="BAGS"/>
    <s v="WITHOUT EXTRA PROTECTCARE INDICATION"/>
    <n v="60"/>
    <n v="9.6434999999999995"/>
    <n v="0"/>
    <n v="0"/>
    <n v="280.5643"/>
    <n v="0"/>
    <n v="0"/>
    <s v="0.00"/>
    <n v="9.6434999999999995"/>
  </r>
  <r>
    <s v="FRESH BABY SOFT CREAM W 60 BAG"/>
    <s v=" Pyramid72 DOO"/>
    <x v="85"/>
    <s v="BAGS"/>
    <s v="WITHOUT EXTRA PROTECTCARE INDICATION"/>
    <n v="60"/>
    <n v="12.711499999999999"/>
    <n v="0"/>
    <n v="0"/>
    <n v="374.43990000000002"/>
    <n v="0"/>
    <n v="0"/>
    <s v="0.00"/>
    <n v="12.711499999999999"/>
  </r>
  <r>
    <s v="SLIPP BEBE SENS.LOTION&amp;VITE&amp;B5 W 120 BAG"/>
    <s v=" PreDone"/>
    <x v="99"/>
    <s v="BAGS"/>
    <s v="SENSITIVE"/>
    <n v="120"/>
    <n v="0"/>
    <n v="0"/>
    <n v="0.624"/>
    <n v="0"/>
    <n v="0"/>
    <n v="34.035699999999999"/>
    <s v="0.00"/>
    <n v="0"/>
  </r>
  <r>
    <s v="MELANI BABY ALOEVERA&amp;VITE W 64 BAG KAPAK"/>
    <s v=" ProStart 97"/>
    <x v="100"/>
    <s v="BAGS"/>
    <s v="WITHOUT EXTRA PROTECTCARE INDICATION"/>
    <n v="64"/>
    <n v="192.72300000000001"/>
    <n v="183.24340000000001"/>
    <n v="97.209599999999995"/>
    <n v="7900.9691000000003"/>
    <n v="6838.8454000000002"/>
    <n v="3264.5805999999998"/>
    <s v="-4.92"/>
    <n v="9.4796000000000049"/>
  </r>
  <r>
    <s v="PAMPERS AQUA PURE ALC.FREE 12 BAG+DIA"/>
    <s v=" Proctor &amp; Wager"/>
    <x v="101"/>
    <s v="BAGS"/>
    <s v="ALCOHOL FREE"/>
    <n v="12"/>
    <n v="6.59E-2"/>
    <n v="0.95820000000000005"/>
    <n v="0"/>
    <n v="0.18509999999999999"/>
    <n v="3.0327999999999999"/>
    <n v="0"/>
    <s v="1354.02"/>
    <n v="-0.89230000000000009"/>
  </r>
  <r>
    <s v="PAMPERS AQUA PURE ALC.FREE 12 BAG+DIA28"/>
    <s v=" Proctor &amp; Wager"/>
    <x v="101"/>
    <s v="BAGS"/>
    <s v="ALCOHOL FREE"/>
    <n v="12"/>
    <n v="5.1000000000000004E-3"/>
    <n v="0.40570000000000001"/>
    <n v="0"/>
    <n v="1.37E-2"/>
    <n v="1.3527"/>
    <n v="0"/>
    <s v="7854.90"/>
    <n v="-0.40060000000000001"/>
  </r>
  <r>
    <s v="PAMPERS AQUA PURE ALC.FREE 12 BAG+DIA50"/>
    <s v=" Proctor &amp; Wager"/>
    <x v="101"/>
    <s v="BAGS"/>
    <s v="ALCOHOL FREE"/>
    <n v="12"/>
    <n v="0.1182"/>
    <n v="1.0884"/>
    <n v="0"/>
    <n v="0.31890000000000002"/>
    <n v="3.3033999999999999"/>
    <n v="0"/>
    <s v="820.81"/>
    <n v="-0.97020000000000006"/>
  </r>
  <r>
    <s v="PAMPERS SENSITIVE ALC.FREE 12 BAG"/>
    <s v=" Proctor &amp; Wager"/>
    <x v="101"/>
    <s v="BAGS"/>
    <s v="SENSITIVE"/>
    <n v="12"/>
    <n v="0.87180000000000002"/>
    <n v="4.3999999999999997E-2"/>
    <n v="0"/>
    <n v="8.5823999999999998"/>
    <n v="0.58599999999999997"/>
    <n v="0"/>
    <s v="-94.95"/>
    <n v="0.82779999999999998"/>
  </r>
  <r>
    <s v="PAMPERS SENSITIVE PH5.5 12 BAG"/>
    <s v=" Proctor &amp; Wager"/>
    <x v="101"/>
    <s v="BAGS"/>
    <s v="SENSITIVE"/>
    <n v="12"/>
    <n v="5.4508000000000001"/>
    <n v="2.1189"/>
    <n v="0.77749999999999997"/>
    <n v="70.866600000000005"/>
    <n v="26.7118"/>
    <n v="8.9403000000000006"/>
    <s v="-61.13"/>
    <n v="3.3319000000000001"/>
  </r>
  <r>
    <s v="PAMPERS BABY FRESH 24 BAG"/>
    <s v=" Proctor &amp; Wager"/>
    <x v="101"/>
    <s v="BAGS"/>
    <s v="ALCOHOL FREE"/>
    <n v="24"/>
    <n v="9.06E-2"/>
    <n v="0"/>
    <n v="0"/>
    <n v="1.3372999999999999"/>
    <n v="0"/>
    <n v="0"/>
    <s v="0.00"/>
    <n v="9.06E-2"/>
  </r>
  <r>
    <s v="PAMPERS SOLE E LUNA CAMOMILLA 50/25%BAG"/>
    <s v=" Proctor &amp; Wager"/>
    <x v="101"/>
    <s v="BAGS"/>
    <s v="WITHOUT EXTRA PROTECTCARE INDICATION"/>
    <n v="37"/>
    <n v="1.3827"/>
    <n v="0.7681"/>
    <n v="2.3199999999999998E-2"/>
    <n v="23.328099999999999"/>
    <n v="13.2523"/>
    <n v="0.52669999999999995"/>
    <s v="-44.45"/>
    <n v="0.61460000000000004"/>
  </r>
  <r>
    <s v="PAMPERS AQUA HARMONIE 99%WATER 3X48 BAG"/>
    <s v=" Proctor &amp; Wager"/>
    <x v="101"/>
    <s v="BAGS"/>
    <s v="ALCOHOL FREE"/>
    <n v="48"/>
    <n v="0"/>
    <n v="0"/>
    <n v="20.740400000000001"/>
    <n v="0"/>
    <n v="0"/>
    <n v="310.0301"/>
    <s v="0.00"/>
    <n v="0"/>
  </r>
  <r>
    <s v="PAMPERS AQUA HARMONIE 99%WATER AL.FR.48"/>
    <s v=" Proctor &amp; Wager"/>
    <x v="101"/>
    <s v="BAGS"/>
    <s v="ALCOHOL FREE"/>
    <n v="48"/>
    <n v="0"/>
    <n v="0"/>
    <n v="1.2435"/>
    <n v="0"/>
    <n v="0"/>
    <n v="17.1813"/>
    <s v="0.00"/>
    <n v="0"/>
  </r>
  <r>
    <s v="PAMPERS AQUA PURE ALC.FREE 3X48 BAG"/>
    <s v=" Proctor &amp; Wager"/>
    <x v="101"/>
    <s v="BAGS"/>
    <s v="ALCOHOL FREE"/>
    <n v="48"/>
    <n v="4.0780000000000003"/>
    <n v="35.126199999999997"/>
    <n v="26.273900000000001"/>
    <n v="71.718599999999995"/>
    <n v="592.5693"/>
    <n v="441.30500000000001"/>
    <s v="761.36"/>
    <n v="-31.048199999999998"/>
  </r>
  <r>
    <s v="PAMPERS AQUA PURE ALC.FREE 48 BAG"/>
    <s v=" Proctor &amp; Wager"/>
    <x v="101"/>
    <s v="BAGS"/>
    <s v="ALCOHOL FREE"/>
    <n v="48"/>
    <n v="264.06810000000002"/>
    <n v="329.44319999999999"/>
    <n v="205.9486"/>
    <n v="3958.0279"/>
    <n v="5113.9928"/>
    <n v="2876.5592000000001"/>
    <s v="24.76"/>
    <n v="-65.375099999999975"/>
  </r>
  <r>
    <s v="PAMPERS BABY FRESH CLEAN W 2X52 BAG"/>
    <s v=" Proctor &amp; Wager"/>
    <x v="101"/>
    <s v="BAGS"/>
    <s v="ALCOHOL FREE"/>
    <n v="52"/>
    <n v="8.5046999999999997"/>
    <n v="12.872299999999999"/>
    <n v="4.3821000000000003"/>
    <n v="194.4057"/>
    <n v="338.25259999999997"/>
    <n v="110.48520000000001"/>
    <s v="51.36"/>
    <n v="-4.3675999999999995"/>
  </r>
  <r>
    <s v="PAMPERS BABY FRESH CLEAN W 4X52 BAG"/>
    <s v=" Proctor &amp; Wager"/>
    <x v="101"/>
    <s v="BAGS"/>
    <s v="ALCOHOL FREE"/>
    <n v="52"/>
    <n v="171.4581"/>
    <n v="146.56880000000001"/>
    <n v="94.527100000000004"/>
    <n v="5827.8176999999996"/>
    <n v="5036.4476000000004"/>
    <n v="3121.8564000000001"/>
    <s v="-14.52"/>
    <n v="24.889299999999992"/>
  </r>
  <r>
    <s v="PAMPERS BABY FRESH CLEAN W 52 BAG"/>
    <s v=" Proctor &amp; Wager"/>
    <x v="101"/>
    <s v="BAGS"/>
    <s v="ALCOHOL FREE"/>
    <n v="52"/>
    <n v="195.73400000000001"/>
    <n v="242.5813"/>
    <n v="163.20820000000001"/>
    <n v="3936.1988000000001"/>
    <n v="5003.2757000000001"/>
    <n v="3062.0891000000001"/>
    <s v="23.93"/>
    <n v="-46.84729999999999"/>
  </r>
  <r>
    <s v="PAMPERS BABY FRESH CLEAN W 52 BAG+DIA 38"/>
    <s v=" Proctor &amp; Wager"/>
    <x v="101"/>
    <s v="BAGS"/>
    <s v="ALCOHOL FREE"/>
    <n v="52"/>
    <n v="0.2492"/>
    <n v="5.8500000000000003E-2"/>
    <n v="0"/>
    <n v="4.6970000000000001"/>
    <n v="1.1557999999999999"/>
    <n v="0"/>
    <s v="-76.52"/>
    <n v="0.19070000000000001"/>
  </r>
  <r>
    <s v="PAMPERS BABY FRESH CLEAN W 52 BAG+DIA 40"/>
    <s v=" Proctor &amp; Wager"/>
    <x v="101"/>
    <s v="BAGS"/>
    <s v="ALCOHOL FREE"/>
    <n v="52"/>
    <n v="0.97950000000000004"/>
    <n v="0"/>
    <n v="0"/>
    <n v="23.239000000000001"/>
    <n v="0"/>
    <n v="0"/>
    <s v="0.00"/>
    <n v="0.97950000000000004"/>
  </r>
  <r>
    <s v="PAMPERS BABY FRESH CLEAN W 52 BAG+DIA 42"/>
    <s v=" Proctor &amp; Wager"/>
    <x v="101"/>
    <s v="BAGS"/>
    <s v="ALCOHOL FREE"/>
    <n v="52"/>
    <n v="1.0518000000000001"/>
    <n v="0"/>
    <n v="0"/>
    <n v="15.4772"/>
    <n v="0"/>
    <n v="0"/>
    <s v="0.00"/>
    <n v="1.0518000000000001"/>
  </r>
  <r>
    <s v="PAMPERS BABY FRESH CLEAN W 52 BAG+DIA 44"/>
    <s v=" Proctor &amp; Wager"/>
    <x v="101"/>
    <s v="BAGS"/>
    <s v="ALCOHOL FREE"/>
    <n v="52"/>
    <n v="1.23"/>
    <n v="5.5100000000000003E-2"/>
    <n v="0"/>
    <n v="22.518699999999999"/>
    <n v="1.0911"/>
    <n v="0"/>
    <s v="-95.52"/>
    <n v="1.1749000000000001"/>
  </r>
  <r>
    <s v="PAMPERS BABY FRESH CLEAN W 52 BAG+DIA 51"/>
    <s v=" Proctor &amp; Wager"/>
    <x v="101"/>
    <s v="BAGS"/>
    <s v="ALCOHOL FREE"/>
    <n v="52"/>
    <n v="0.64070000000000005"/>
    <n v="0"/>
    <n v="0"/>
    <n v="15.170299999999999"/>
    <n v="0"/>
    <n v="0"/>
    <s v="0.00"/>
    <n v="0.64070000000000005"/>
  </r>
  <r>
    <s v="PAMPERS BABY FRESH CLEAN W 52 BAG+DIA 52"/>
    <s v=" Proctor &amp; Wager"/>
    <x v="101"/>
    <s v="BAGS"/>
    <s v="ALCOHOL FREE"/>
    <n v="52"/>
    <n v="0.8125"/>
    <n v="2.2100000000000002E-2"/>
    <n v="0"/>
    <n v="14.451000000000001"/>
    <n v="0.38290000000000002"/>
    <n v="0"/>
    <s v="-97.28"/>
    <n v="0.79039999999999999"/>
  </r>
  <r>
    <s v="PAMPERS BABY FRESH CLEAN W 52 BAG+DIA 53"/>
    <s v=" Proctor &amp; Wager"/>
    <x v="101"/>
    <s v="BAGS"/>
    <s v="ALCOHOL FREE"/>
    <n v="52"/>
    <n v="0.40889999999999999"/>
    <n v="7.7899999999999997E-2"/>
    <n v="0"/>
    <n v="9.6999999999999993"/>
    <n v="1.9962"/>
    <n v="0"/>
    <s v="-80.95"/>
    <n v="0.33099999999999996"/>
  </r>
  <r>
    <s v="PAMPERS BABY FRESH CLEAN W 52 BAG+DIA 54"/>
    <s v=" Proctor &amp; Wager"/>
    <x v="101"/>
    <s v="BAGS"/>
    <s v="ALCOHOL FREE"/>
    <n v="52"/>
    <n v="1.716"/>
    <n v="0"/>
    <n v="0"/>
    <n v="43.815600000000003"/>
    <n v="0"/>
    <n v="0"/>
    <s v="0.00"/>
    <n v="1.716"/>
  </r>
  <r>
    <s v="PAMPERS BABY FRESH CLEAN W 52 BAG+DIA 58"/>
    <s v=" Proctor &amp; Wager"/>
    <x v="101"/>
    <s v="BAGS"/>
    <s v="ALCOHOL FREE"/>
    <n v="52"/>
    <n v="0.17050000000000001"/>
    <n v="7.7700000000000005E-2"/>
    <n v="0"/>
    <n v="3.5674000000000001"/>
    <n v="1.7087000000000001"/>
    <n v="0"/>
    <s v="-54.43"/>
    <n v="9.2800000000000007E-2"/>
  </r>
  <r>
    <s v="PAMPERS BABY FRESH CLEAN W 52 BAG+DIA 60"/>
    <s v=" Proctor &amp; Wager"/>
    <x v="101"/>
    <s v="BAGS"/>
    <s v="ALCOHOL FREE"/>
    <n v="52"/>
    <n v="1.5501"/>
    <n v="0.42659999999999998"/>
    <n v="0.12859999999999999"/>
    <n v="28.959800000000001"/>
    <n v="8.7736999999999998"/>
    <n v="2.5320999999999998"/>
    <s v="-72.48"/>
    <n v="1.1234999999999999"/>
  </r>
  <r>
    <s v="PAMPERS BABY FRESH CLEAN W 52 BAG+DIA 66"/>
    <s v=" Proctor &amp; Wager"/>
    <x v="101"/>
    <s v="BAGS"/>
    <s v="ALCOHOL FREE"/>
    <n v="52"/>
    <n v="0.83640000000000003"/>
    <n v="0.51139999999999997"/>
    <n v="0"/>
    <n v="18.6389"/>
    <n v="9.5508000000000006"/>
    <n v="0"/>
    <s v="-38.86"/>
    <n v="0.32500000000000007"/>
  </r>
  <r>
    <s v="PAMPERS BABY FRESH CLEAN W 52 BAG+DIA 68"/>
    <s v=" Proctor &amp; Wager"/>
    <x v="101"/>
    <s v="BAGS"/>
    <s v="ALCOHOL FREE"/>
    <n v="52"/>
    <n v="0.72089999999999999"/>
    <n v="0"/>
    <n v="0"/>
    <n v="9.8262"/>
    <n v="0"/>
    <n v="0"/>
    <s v="0.00"/>
    <n v="0.72089999999999999"/>
  </r>
  <r>
    <s v="PAMPERS BABY FRESH CLEAN W 52 BAG+DIA 76"/>
    <s v=" Proctor &amp; Wager"/>
    <x v="101"/>
    <s v="BAGS"/>
    <s v="ALCOHOL FREE"/>
    <n v="52"/>
    <n v="0.48470000000000002"/>
    <n v="0"/>
    <n v="0"/>
    <n v="10.088699999999999"/>
    <n v="0"/>
    <n v="0"/>
    <s v="0.00"/>
    <n v="0.48470000000000002"/>
  </r>
  <r>
    <s v="PAMPERS BABY FRESH CLEAN W 52 BAG+DIA 78"/>
    <s v=" Proctor &amp; Wager"/>
    <x v="101"/>
    <s v="BAGS"/>
    <s v="ALCOHOL FREE"/>
    <n v="52"/>
    <n v="1.3634999999999999"/>
    <n v="2.1999999999999999E-2"/>
    <n v="0"/>
    <n v="21.971299999999999"/>
    <n v="0.34660000000000002"/>
    <n v="0"/>
    <s v="-98.39"/>
    <n v="1.3414999999999999"/>
  </r>
  <r>
    <s v="PAMPERS BABY FRESH CLEAN W 52 BAG+DIA 90"/>
    <s v=" Proctor &amp; Wager"/>
    <x v="101"/>
    <s v="BAGS"/>
    <s v="ALCOHOL FREE"/>
    <n v="52"/>
    <n v="0.2001"/>
    <n v="0"/>
    <n v="0"/>
    <n v="3.1530999999999998"/>
    <n v="0"/>
    <n v="0"/>
    <s v="0.00"/>
    <n v="0.2001"/>
  </r>
  <r>
    <s v="PAMPERS BABY FRESH CLEAN W 52 BAG+DIA104"/>
    <s v=" Proctor &amp; Wager"/>
    <x v="101"/>
    <s v="BAGS"/>
    <s v="ALCOHOL FREE"/>
    <n v="52"/>
    <n v="0.30409999999999998"/>
    <n v="0"/>
    <n v="0"/>
    <n v="4.4311999999999996"/>
    <n v="0"/>
    <n v="0"/>
    <s v="0.00"/>
    <n v="0.30409999999999998"/>
  </r>
  <r>
    <s v="PAMPERS BABY FRESH CLEAN W 52 BAG+DIA50"/>
    <s v=" Proctor &amp; Wager"/>
    <x v="101"/>
    <s v="BAGS"/>
    <s v="ALCOHOL FREE"/>
    <n v="52"/>
    <n v="1.4756"/>
    <n v="0.29549999999999998"/>
    <n v="0.13869999999999999"/>
    <n v="38.575499999999998"/>
    <n v="5.6929999999999996"/>
    <n v="2.5320999999999998"/>
    <s v="-79.97"/>
    <n v="1.1800999999999999"/>
  </r>
  <r>
    <s v="PAMPERS BABY FRESH CLEAN W 52+DIA PANT38"/>
    <s v=" Proctor &amp; Wager"/>
    <x v="101"/>
    <s v="BAGS"/>
    <s v="ALCOHOL FREE"/>
    <n v="52"/>
    <n v="0.92279999999999995"/>
    <n v="0"/>
    <n v="0"/>
    <n v="21.822199999999999"/>
    <n v="0"/>
    <n v="0"/>
    <s v="0.00"/>
    <n v="0.92279999999999995"/>
  </r>
  <r>
    <s v="PAMPERS BABY FRESH CLEAN W 6X52 BAG"/>
    <s v=" Proctor &amp; Wager"/>
    <x v="101"/>
    <s v="BAGS"/>
    <s v="ALCOHOL FREE"/>
    <n v="52"/>
    <n v="105.723"/>
    <n v="231.39109999999999"/>
    <n v="190.30779999999999"/>
    <n v="3632.1455999999998"/>
    <n v="7878.6941999999999"/>
    <n v="6167.0902999999998"/>
    <s v="118.87"/>
    <n v="-125.6681"/>
  </r>
  <r>
    <s v="PAMPERS BABY FRESH CLEAN W52+DIA ACT6 44"/>
    <s v=" Proctor &amp; Wager"/>
    <x v="101"/>
    <s v="BAGS"/>
    <s v="ALCOHOL FREE"/>
    <n v="52"/>
    <n v="0.97140000000000004"/>
    <n v="3.1E-2"/>
    <n v="0"/>
    <n v="22.952100000000002"/>
    <n v="0.70540000000000003"/>
    <n v="0"/>
    <s v="-96.81"/>
    <n v="0.94040000000000001"/>
  </r>
  <r>
    <s v="PAMPERS BABY FRESH CLEAN W52+DIA PANTS60"/>
    <s v=" Proctor &amp; Wager"/>
    <x v="101"/>
    <s v="BAGS"/>
    <s v="ALCOHOL FREE"/>
    <n v="52"/>
    <n v="0.23680000000000001"/>
    <n v="0"/>
    <n v="0"/>
    <n v="4.3052000000000001"/>
    <n v="0"/>
    <n v="0"/>
    <s v="0.00"/>
    <n v="0.23680000000000001"/>
  </r>
  <r>
    <s v="PAMPERS SENSITIVE PH5.5 2X52 BAG"/>
    <s v=" Proctor &amp; Wager"/>
    <x v="101"/>
    <s v="BAGS"/>
    <s v="SENSITIVE"/>
    <n v="52"/>
    <n v="40.155500000000004"/>
    <n v="53.039099999999998"/>
    <n v="19.640599999999999"/>
    <n v="809.24120000000005"/>
    <n v="1117.5988"/>
    <n v="353.57029999999997"/>
    <s v="32.08"/>
    <n v="-12.883599999999994"/>
  </r>
  <r>
    <s v="PAMPERS SENSITIVE PH5.5 4X52 BAG"/>
    <s v=" Proctor &amp; Wager"/>
    <x v="101"/>
    <s v="BAGS"/>
    <s v="SENSITIVE"/>
    <n v="52"/>
    <n v="124.0141"/>
    <n v="119.1621"/>
    <n v="72.991100000000003"/>
    <n v="4179.8078999999998"/>
    <n v="4057.9854"/>
    <n v="2439.5360000000001"/>
    <s v="-3.91"/>
    <n v="4.8520000000000039"/>
  </r>
  <r>
    <s v="PAMPERS SENSITIVE PH5.5 52 BAG"/>
    <s v=" Proctor &amp; Wager"/>
    <x v="101"/>
    <s v="BAGS"/>
    <s v="SENSITIVE"/>
    <n v="52"/>
    <n v="126.2456"/>
    <n v="161.7927"/>
    <n v="82.616799999999998"/>
    <n v="2585.6873000000001"/>
    <n v="3416.431"/>
    <n v="1611.8206"/>
    <s v="28.16"/>
    <n v="-35.5471"/>
  </r>
  <r>
    <s v="PAMPERS SENSITIVE PH5.5 6X52 BAG"/>
    <s v=" Proctor &amp; Wager"/>
    <x v="101"/>
    <s v="BAGS"/>
    <s v="SENSITIVE"/>
    <n v="52"/>
    <n v="95.148099999999999"/>
    <n v="213.16730000000001"/>
    <n v="155.60400000000001"/>
    <n v="3171.4767999999999"/>
    <n v="7264.2154"/>
    <n v="5013.7686000000003"/>
    <s v="124.04"/>
    <n v="-118.01920000000001"/>
  </r>
  <r>
    <s v="PAMPERS SENSITIVE 54 BAG KAPAK"/>
    <s v=" Proctor &amp; Wager"/>
    <x v="101"/>
    <s v="BAGS"/>
    <s v="SENSITIVE"/>
    <n v="54"/>
    <n v="19.249199999999998"/>
    <n v="1.4004000000000001"/>
    <n v="0"/>
    <n v="316.69850000000002"/>
    <n v="25.215900000000001"/>
    <n v="0"/>
    <s v="-92.72"/>
    <n v="17.848799999999997"/>
  </r>
  <r>
    <s v="PAMPERS SENSITIVE 2X56 BAG"/>
    <s v=" Proctor &amp; Wager"/>
    <x v="101"/>
    <s v="BAGS"/>
    <s v="SENSITIVE"/>
    <n v="56"/>
    <n v="0.76639999999999997"/>
    <n v="3.6499999999999998E-2"/>
    <n v="0"/>
    <n v="14.48"/>
    <n v="0.67200000000000004"/>
    <n v="0"/>
    <s v="-95.24"/>
    <n v="0.72989999999999999"/>
  </r>
  <r>
    <s v="PAMPERS SENSITIVE 4X56 BAG"/>
    <s v=" Proctor &amp; Wager"/>
    <x v="101"/>
    <s v="BAGS"/>
    <s v="SENSITIVE"/>
    <n v="56"/>
    <n v="0.17649999999999999"/>
    <n v="0"/>
    <n v="0"/>
    <n v="2.9144999999999999"/>
    <n v="0"/>
    <n v="0"/>
    <s v="0.00"/>
    <n v="0.17649999999999999"/>
  </r>
  <r>
    <s v="PAMPERS SENSITIVE 56 BAG"/>
    <s v=" Proctor &amp; Wager"/>
    <x v="101"/>
    <s v="BAGS"/>
    <s v="SENSITIVE"/>
    <n v="56"/>
    <n v="3.9998"/>
    <n v="2.0327000000000002"/>
    <n v="0.44619999999999999"/>
    <n v="76.599100000000007"/>
    <n v="45.206499999999998"/>
    <n v="9.7993000000000006"/>
    <s v="-49.18"/>
    <n v="1.9670999999999998"/>
  </r>
  <r>
    <s v="PAMPERS SENSITIVE 56 BAG KAPAK"/>
    <s v=" Proctor &amp; Wager"/>
    <x v="101"/>
    <s v="BAGS"/>
    <s v="SENSITIVE"/>
    <n v="56"/>
    <n v="3.4256000000000002"/>
    <n v="0.1051"/>
    <n v="0"/>
    <n v="52.9163"/>
    <n v="1.5987"/>
    <n v="0"/>
    <s v="-96.93"/>
    <n v="3.3205"/>
  </r>
  <r>
    <s v="PAMPERS SENSITIVE 56 BAG+DIA PANTS3 60"/>
    <s v=" Proctor &amp; Wager"/>
    <x v="101"/>
    <s v="BAGS"/>
    <s v="SENSITIVE"/>
    <n v="56"/>
    <n v="2.7799999999999998E-2"/>
    <n v="0"/>
    <n v="0"/>
    <n v="0.59"/>
    <n v="0"/>
    <n v="0"/>
    <s v="0.00"/>
    <n v="2.7799999999999998E-2"/>
  </r>
  <r>
    <s v="PAMPERS SENSITIVE 56 BAG+DIA PANTS4 52"/>
    <s v=" Proctor &amp; Wager"/>
    <x v="101"/>
    <s v="BAGS"/>
    <s v="SENSITIVE"/>
    <n v="56"/>
    <n v="2.0205000000000002"/>
    <n v="6.1100000000000002E-2"/>
    <n v="4.3E-3"/>
    <n v="30.746600000000001"/>
    <n v="0.89600000000000002"/>
    <n v="5.6000000000000001E-2"/>
    <s v="-96.98"/>
    <n v="1.9594000000000003"/>
  </r>
  <r>
    <s v="PAMPERS SENSITIVE 56 BAG+DIA PANTS5 48 1"/>
    <s v=" Proctor &amp; Wager"/>
    <x v="101"/>
    <s v="BAGS"/>
    <s v="SENSITIVE"/>
    <n v="56"/>
    <n v="2.1128999999999998"/>
    <n v="3.0200000000000001E-2"/>
    <n v="0"/>
    <n v="32.116500000000002"/>
    <n v="0.44800000000000001"/>
    <n v="0"/>
    <s v="-98.57"/>
    <n v="2.0827"/>
  </r>
  <r>
    <s v="PAMPERS SENSITIVE 56 BAG+DIA PR CARE54"/>
    <s v=" Proctor &amp; Wager"/>
    <x v="101"/>
    <s v="BAGS"/>
    <s v="SENSITIVE"/>
    <n v="56"/>
    <n v="0.03"/>
    <n v="5.8999999999999999E-3"/>
    <n v="0"/>
    <n v="0.67200000000000004"/>
    <n v="0.16800000000000001"/>
    <n v="0"/>
    <s v="-80.33"/>
    <n v="2.41E-2"/>
  </r>
  <r>
    <s v="PAMPERS SENSITIVE 56 BAG+DIAPREMCARE3 60"/>
    <s v=" Proctor &amp; Wager"/>
    <x v="101"/>
    <s v="BAGS"/>
    <s v="SENSITIVE"/>
    <n v="56"/>
    <n v="3.5200000000000002E-2"/>
    <n v="0"/>
    <n v="0"/>
    <n v="0.65949999999999998"/>
    <n v="0"/>
    <n v="0"/>
    <s v="0.00"/>
    <n v="3.5200000000000002E-2"/>
  </r>
  <r>
    <s v="PAMPERS SENSITIVE 56 BAG+DIAPREMCARE5 44"/>
    <s v=" Proctor &amp; Wager"/>
    <x v="101"/>
    <s v="BAGS"/>
    <s v="SENSITIVE"/>
    <n v="56"/>
    <n v="0.17460000000000001"/>
    <n v="5.2699999999999997E-2"/>
    <n v="1.09E-2"/>
    <n v="3.8159000000000001"/>
    <n v="1.4"/>
    <n v="0.28000000000000003"/>
    <s v="-69.82"/>
    <n v="0.12190000000000001"/>
  </r>
  <r>
    <s v="PAMPERS SENSITIVE 6X56/2BR FREE BAG"/>
    <s v=" Proctor &amp; Wager"/>
    <x v="101"/>
    <s v="BAGS"/>
    <s v="SENSITIVE"/>
    <n v="56"/>
    <n v="1.0412999999999999"/>
    <n v="0"/>
    <n v="0"/>
    <n v="23.5031"/>
    <n v="0"/>
    <n v="0"/>
    <s v="0.00"/>
    <n v="1.0412999999999999"/>
  </r>
  <r>
    <s v="PAMPERS SENSITIVE CAMOMILE&amp;ALOE 56 BAG"/>
    <s v=" Proctor &amp; Wager"/>
    <x v="101"/>
    <s v="BAGS"/>
    <s v="SENSITIVE"/>
    <n v="56"/>
    <n v="3.8100000000000002E-2"/>
    <n v="7.4000000000000003E-3"/>
    <n v="1.11E-2"/>
    <n v="0.67200000000000004"/>
    <n v="0.112"/>
    <n v="0.16800000000000001"/>
    <s v="-80.58"/>
    <n v="3.0700000000000002E-2"/>
  </r>
  <r>
    <s v="PAMPERS SENSITIVE SOFTLIKECOTTON 56 BAG"/>
    <s v=" Proctor &amp; Wager"/>
    <x v="101"/>
    <s v="BAGS"/>
    <s v="SENSITIVE"/>
    <n v="56"/>
    <n v="1.0855999999999999"/>
    <n v="0.58120000000000005"/>
    <n v="0"/>
    <n v="19.170200000000001"/>
    <n v="10.2963"/>
    <n v="0"/>
    <s v="-46.46"/>
    <n v="0.50439999999999985"/>
  </r>
  <r>
    <s v="PAMPERS SENSITIVE W 6X56/336 BAG"/>
    <s v=" Proctor &amp; Wager"/>
    <x v="101"/>
    <s v="BAGS"/>
    <s v="SENSITIVE"/>
    <n v="56"/>
    <n v="0.72109999999999996"/>
    <n v="5.3105000000000002"/>
    <n v="0"/>
    <n v="13.8162"/>
    <n v="130.43450000000001"/>
    <n v="0"/>
    <s v="636.44"/>
    <n v="-4.5894000000000004"/>
  </r>
  <r>
    <s v="PAMPERS SENSITIVE XXL W 6X56/2BR FR BAG"/>
    <s v=" Proctor &amp; Wager"/>
    <x v="101"/>
    <s v="BAGS"/>
    <s v="SENSITIVE"/>
    <n v="56"/>
    <n v="0.80620000000000003"/>
    <n v="0"/>
    <n v="0"/>
    <n v="18.060500000000001"/>
    <n v="0"/>
    <n v="0"/>
    <s v="0.00"/>
    <n v="0.80620000000000003"/>
  </r>
  <r>
    <s v="PAMPERS BABY FRESH ALOE W 64 BAG"/>
    <s v=" Proctor &amp; Wager"/>
    <x v="101"/>
    <s v="BAGS"/>
    <s v="ALCOHOL FREE"/>
    <n v="64"/>
    <n v="15.5359"/>
    <n v="0.67789999999999995"/>
    <n v="0"/>
    <n v="345.3125"/>
    <n v="13.0631"/>
    <n v="0"/>
    <s v="-95.64"/>
    <n v="14.858000000000001"/>
  </r>
  <r>
    <s v="PAMPERS BABY FRESH CLEAN W 4X64 BAG"/>
    <s v=" Proctor &amp; Wager"/>
    <x v="101"/>
    <s v="BAGS"/>
    <s v="WITHOUT EXTRA PROTECTCARE INDICATION"/>
    <n v="64"/>
    <n v="0.33579999999999999"/>
    <n v="0"/>
    <n v="0"/>
    <n v="9.1472999999999995"/>
    <n v="0"/>
    <n v="0"/>
    <s v="0.00"/>
    <n v="0.33579999999999999"/>
  </r>
  <r>
    <s v="PAMPERS BABY FRESH CLEAN W 64 BAG"/>
    <s v=" Proctor &amp; Wager"/>
    <x v="101"/>
    <s v="BAGS"/>
    <s v="WITHOUT EXTRA PROTECTCARE INDICATION"/>
    <n v="64"/>
    <n v="27.901900000000001"/>
    <n v="8.1903000000000006"/>
    <n v="0.88470000000000004"/>
    <n v="618.1096"/>
    <n v="185.2071"/>
    <n v="18.353999999999999"/>
    <s v="-70.65"/>
    <n v="19.711600000000001"/>
  </r>
  <r>
    <s v="PAMPERS BABY FRESH CLEAN W 64 BAG+DIA 42"/>
    <s v=" Proctor &amp; Wager"/>
    <x v="101"/>
    <s v="BAGS"/>
    <s v="WITHOUT EXTRA PROTECTCARE INDICATION"/>
    <n v="64"/>
    <n v="2.58E-2"/>
    <n v="7.9000000000000008E-3"/>
    <n v="0"/>
    <n v="0.57599999999999996"/>
    <n v="0.38400000000000001"/>
    <n v="0"/>
    <s v="-69.38"/>
    <n v="1.7899999999999999E-2"/>
  </r>
  <r>
    <s v="PAMPERS BABY FRESH CLEAN W 64 BAG+DIA68"/>
    <s v=" Proctor &amp; Wager"/>
    <x v="101"/>
    <s v="BAGS"/>
    <s v="WITHOUT EXTRA PROTECTCARE INDICATION"/>
    <n v="64"/>
    <n v="0.55289999999999995"/>
    <n v="0.47820000000000001"/>
    <n v="8.14E-2"/>
    <n v="17.2395"/>
    <n v="16.416799999999999"/>
    <n v="2.5183"/>
    <s v="-13.51"/>
    <n v="7.4699999999999933E-2"/>
  </r>
  <r>
    <s v="PAMPERS BABY FRESH CLEAN W 6X64/384 BAG"/>
    <s v=" Proctor &amp; Wager"/>
    <x v="101"/>
    <s v="BAGS"/>
    <s v="WITHOUT EXTRA PROTECTCARE INDICATION"/>
    <n v="64"/>
    <n v="3.53"/>
    <n v="1.6247"/>
    <n v="0"/>
    <n v="92.468000000000004"/>
    <n v="38.321599999999997"/>
    <n v="0"/>
    <s v="-53.97"/>
    <n v="1.9052999999999998"/>
  </r>
  <r>
    <s v="PAMPERS BABY FRESH ECONOMY W 2X64 BAG"/>
    <s v=" Proctor &amp; Wager"/>
    <x v="101"/>
    <s v="BAGS"/>
    <s v="ALCOHOL FREE"/>
    <n v="64"/>
    <n v="0.42930000000000001"/>
    <n v="0.67159999999999997"/>
    <n v="0"/>
    <n v="9.3439999999999994"/>
    <n v="12.986599999999999"/>
    <n v="0"/>
    <s v="56.44"/>
    <n v="-0.24229999999999996"/>
  </r>
  <r>
    <s v="PAMPERS BABYFRESHCLEAN ALOE W 6X64/2BRFR"/>
    <s v=" Proctor &amp; Wager"/>
    <x v="101"/>
    <s v="BAGS"/>
    <s v="WITHOUT EXTRA PROTECTCARE INDICATION"/>
    <n v="64"/>
    <n v="0.48170000000000002"/>
    <n v="0"/>
    <n v="0"/>
    <n v="13.007199999999999"/>
    <n v="0"/>
    <n v="0"/>
    <s v="0.00"/>
    <n v="0.48170000000000002"/>
  </r>
  <r>
    <s v="PAMPERS BABYFRESHCLEAN W 3X64/1FREE BAG"/>
    <s v=" Proctor &amp; Wager"/>
    <x v="101"/>
    <s v="BAGS"/>
    <s v="WITHOUT EXTRA PROTECTCARE INDICATION"/>
    <n v="64"/>
    <n v="0"/>
    <n v="0"/>
    <n v="8.9800000000000005E-2"/>
    <n v="0"/>
    <n v="0"/>
    <n v="1.9842"/>
    <s v="0.00"/>
    <n v="0"/>
  </r>
  <r>
    <s v="PAMPERS CLEAN&amp;PLAY 64 BAG"/>
    <s v=" Proctor &amp; Wager"/>
    <x v="101"/>
    <s v="BAGS"/>
    <s v="WITHOUT EXTRA PROTECTCARE INDICATION"/>
    <n v="64"/>
    <n v="0"/>
    <n v="0"/>
    <n v="0.16889999999999999"/>
    <n v="0"/>
    <n v="0"/>
    <n v="4.3247"/>
    <s v="0.00"/>
    <n v="0"/>
  </r>
  <r>
    <s v="PAMPERS NATURAL CLEAN W 64 BAG KAPAK"/>
    <s v=" Proctor &amp; Wager"/>
    <x v="101"/>
    <s v="BAGS"/>
    <s v="WITHOUT EXTRA PROTECTCARE INDICATION"/>
    <n v="64"/>
    <n v="4.2949000000000002"/>
    <n v="0.33839999999999998"/>
    <n v="0"/>
    <n v="87.926599999999993"/>
    <n v="6.2496999999999998"/>
    <n v="0"/>
    <s v="-92.12"/>
    <n v="3.9565000000000001"/>
  </r>
  <r>
    <s v="PAMPERS NATURALCLEAN FRAGR.FREE W 64 BAG"/>
    <s v=" Proctor &amp; Wager"/>
    <x v="101"/>
    <s v="BAGS"/>
    <s v="WITHOUT EXTRA PROTECTCARE INDICATION"/>
    <n v="64"/>
    <n v="13.5303"/>
    <n v="2.3972000000000002"/>
    <n v="0.73670000000000002"/>
    <n v="272.4522"/>
    <n v="43.2258"/>
    <n v="13.669700000000001"/>
    <s v="-82.28"/>
    <n v="11.133100000000001"/>
  </r>
  <r>
    <s v="PAMPERS NATURALLY CLEAN W 4X64 BAG"/>
    <s v=" Proctor &amp; Wager"/>
    <x v="101"/>
    <s v="BAGS"/>
    <s v="WITHOUT EXTRA PROTECTCARE INDICATION"/>
    <n v="64"/>
    <n v="8.9724000000000004"/>
    <n v="2.3250000000000002"/>
    <n v="9.6000000000000002E-2"/>
    <n v="202.00700000000001"/>
    <n v="55.267699999999998"/>
    <n v="2.0488"/>
    <s v="-74.09"/>
    <n v="6.6474000000000002"/>
  </r>
  <r>
    <s v="PAMPERS NATURALLY CLEAN+CHAMOMILE W 2X64"/>
    <s v=" Proctor &amp; Wager"/>
    <x v="101"/>
    <s v="BAGS"/>
    <s v="WITHOUT EXTRA PROTECTCARE INDICATION"/>
    <n v="64"/>
    <n v="0.24310000000000001"/>
    <n v="0.1048"/>
    <n v="0"/>
    <n v="5.5039999999999996"/>
    <n v="2.3589000000000002"/>
    <n v="0"/>
    <s v="-56.89"/>
    <n v="0.13830000000000001"/>
  </r>
  <r>
    <s v="PAMPERS BABY FRESH CLEAN XXL W 80 BAG"/>
    <s v=" Proctor &amp; Wager"/>
    <x v="101"/>
    <s v="BAGS"/>
    <s v="ALCOHOL FREE"/>
    <n v="80"/>
    <n v="299.24509999999998"/>
    <n v="239.40260000000001"/>
    <n v="70.132900000000006"/>
    <n v="8505.4575000000004"/>
    <n v="6543.0663999999997"/>
    <n v="1626.3281999999999"/>
    <s v="-20.00"/>
    <n v="59.842499999999973"/>
  </r>
  <r>
    <s v="PAMPERS SENSITIVE PH5.5 XXL 80 BAG"/>
    <s v=" Proctor &amp; Wager"/>
    <x v="101"/>
    <s v="BAGS"/>
    <s v="SENSITIVE"/>
    <n v="80"/>
    <n v="228.9504"/>
    <n v="220.107"/>
    <n v="99.616699999999994"/>
    <n v="6068.1558999999997"/>
    <n v="5788.4287000000004"/>
    <n v="2377.8838000000001"/>
    <s v="-3.86"/>
    <n v="8.8434000000000026"/>
  </r>
  <r>
    <s v="PAMPERS HARMONIE COCO AL.FREE 3X42 BAG"/>
    <s v=" Proctor &amp; Wager"/>
    <x v="101"/>
    <s v="BAGS"/>
    <s v="ALCOHOL FREE"/>
    <n v="42"/>
    <n v="0"/>
    <n v="0"/>
    <n v="4.2099999999999999E-2"/>
    <n v="0"/>
    <n v="0"/>
    <n v="0.45"/>
    <s v="0.00"/>
    <n v="0"/>
  </r>
  <r>
    <s v="PAMPERS HARMONIE COCO AL.FREE 42 BAG"/>
    <s v=" Proctor &amp; Wager"/>
    <x v="101"/>
    <s v="BAGS"/>
    <s v="ALCOHOL FREE"/>
    <n v="42"/>
    <n v="0"/>
    <n v="0"/>
    <n v="0.3543"/>
    <n v="0"/>
    <n v="0"/>
    <n v="4.1279000000000003"/>
    <s v="0.00"/>
    <n v="0"/>
  </r>
  <r>
    <s v="PAMPERS PURE COCONUT AL.FREE 3X42 BAG"/>
    <s v=" Proctor &amp; Wager"/>
    <x v="101"/>
    <s v="BAGS"/>
    <s v="ALCOHOL FREE"/>
    <n v="42"/>
    <n v="9.0039999999999996"/>
    <n v="27.005199999999999"/>
    <n v="7.3737000000000004"/>
    <n v="168.55369999999999"/>
    <n v="470.04379999999998"/>
    <n v="117.492"/>
    <s v="199.92"/>
    <n v="-18.001199999999997"/>
  </r>
  <r>
    <s v="PAMPERS PURE COCONUT AL.FREE 42 BAG"/>
    <s v=" Proctor &amp; Wager"/>
    <x v="101"/>
    <s v="BAGS"/>
    <s v="ALCOHOL FREE"/>
    <n v="42"/>
    <n v="9.5648"/>
    <n v="36.633899999999997"/>
    <n v="14.959"/>
    <n v="136.73179999999999"/>
    <n v="512.46489999999994"/>
    <n v="178.05029999999999"/>
    <s v="283.01"/>
    <n v="-27.069099999999999"/>
  </r>
  <r>
    <s v="PAMPERS 72 R BAG"/>
    <s v=" Proctor &amp; Wager"/>
    <x v="101"/>
    <s v="BAGS"/>
    <s v="WITHOUT EXTRA PROTECTCARE INDICATION"/>
    <n v="72"/>
    <n v="0.18679999999999999"/>
    <n v="0"/>
    <n v="0"/>
    <n v="4.4957000000000003"/>
    <n v="0"/>
    <n v="0"/>
    <s v="0.00"/>
    <n v="0.18679999999999999"/>
  </r>
  <r>
    <s v="PAMPERS SENSITIVE 56 BOX"/>
    <s v=" Proctor &amp; Wager"/>
    <x v="101"/>
    <s v="BOX"/>
    <s v="SENSITIVE"/>
    <n v="56"/>
    <n v="0.2319"/>
    <n v="0"/>
    <n v="0"/>
    <n v="3.4005999999999998"/>
    <n v="0"/>
    <n v="0"/>
    <s v="0.00"/>
    <n v="0.2319"/>
  </r>
  <r>
    <s v="PRIMA HASSAS CILTLER W 56 BAG"/>
    <s v=" Proctor &amp; Wager"/>
    <x v="102"/>
    <s v="BAGS"/>
    <s v="SENSITIVE"/>
    <n v="56"/>
    <n v="0.2671"/>
    <n v="0"/>
    <n v="0"/>
    <n v="5.0296000000000003"/>
    <n v="0"/>
    <n v="0"/>
    <s v="0.00"/>
    <n v="0.2671"/>
  </r>
  <r>
    <s v="PRIMA  FreshClean ALOE W 64 BAG"/>
    <s v=" Proctor &amp; Wager"/>
    <x v="102"/>
    <s v="BAGS"/>
    <s v="WITHOUT EXTRA PROTECTCARE INDICATION"/>
    <n v="64"/>
    <n v="0.10589999999999999"/>
    <n v="1.12E-2"/>
    <n v="0"/>
    <n v="2.2591999999999999"/>
    <n v="0.2389"/>
    <n v="0"/>
    <s v="-89.42"/>
    <n v="9.4699999999999993E-2"/>
  </r>
  <r>
    <s v="URIAGE BEBE HYPOALERGENIC W 2X70/1FR BAG"/>
    <s v=" PuigPeak"/>
    <x v="103"/>
    <s v="BAGS"/>
    <s v="ALCOHOL FREE &amp; HYPOALLERGENIC"/>
    <n v="70"/>
    <n v="2.1598999999999999"/>
    <n v="5.1025"/>
    <n v="6.3079000000000001"/>
    <n v="36.4"/>
    <n v="77.862799999999993"/>
    <n v="91.042100000000005"/>
    <s v="136.24"/>
    <n v="-2.9426000000000001"/>
  </r>
  <r>
    <s v="URIAGE BEBE HYPOALERGENIC W 70 BAG"/>
    <s v=" PuigPeak"/>
    <x v="103"/>
    <s v="BAGS"/>
    <s v="ALCOHOL FREE &amp; HYPOALLERGENIC"/>
    <n v="70"/>
    <n v="10.1408"/>
    <n v="7.4416000000000002"/>
    <n v="2.3571"/>
    <n v="91.191500000000005"/>
    <n v="64.807599999999994"/>
    <n v="19.349299999999999"/>
    <s v="-26.62"/>
    <n v="2.6992000000000003"/>
  </r>
  <r>
    <s v="BIMBO&amp;BIMBA CHAMOMILE&amp;ALOE W 80 BAG"/>
    <s v=" QueenTrade LTD"/>
    <x v="104"/>
    <s v="BAGS"/>
    <s v="PH BALANCED"/>
    <n v="80"/>
    <n v="2.9045000000000001"/>
    <n v="0"/>
    <n v="0"/>
    <n v="116.9823"/>
    <n v="0"/>
    <n v="0"/>
    <s v="0.00"/>
    <n v="2.9045000000000001"/>
  </r>
  <r>
    <s v="BIMBO&amp;BIMBA CHAMOMILE&amp;CALENDULA W 80 BAG"/>
    <s v=" QueenTrade LTD"/>
    <x v="104"/>
    <s v="BAGS"/>
    <s v="WITHOUT EXTRA PROTECTCARE INDICATION"/>
    <n v="80"/>
    <n v="2.9113000000000002"/>
    <n v="0"/>
    <n v="0"/>
    <n v="119.83880000000001"/>
    <n v="0"/>
    <n v="0"/>
    <s v="0.00"/>
    <n v="2.9113000000000002"/>
  </r>
  <r>
    <s v="BIMBO&amp;BIMBA CHAMOMILE&amp;LAVENDER W 80 BAG"/>
    <s v=" QueenTrade LTD"/>
    <x v="104"/>
    <s v="BAGS"/>
    <s v="WITHOUT EXTRA PROTECTCARE INDICATION"/>
    <n v="80"/>
    <n v="4.2324000000000002"/>
    <n v="0"/>
    <n v="0"/>
    <n v="171.05330000000001"/>
    <n v="0"/>
    <n v="0"/>
    <s v="0.00"/>
    <n v="4.2324000000000002"/>
  </r>
  <r>
    <s v="BIMBO&amp;BIMBA CHAMOMILE&amp;SMRADLIKA W 80 BAG"/>
    <s v=" QueenTrade LTD"/>
    <x v="104"/>
    <s v="BAGS"/>
    <s v="PH BALANCED"/>
    <n v="80"/>
    <n v="2.6360000000000001"/>
    <n v="0"/>
    <n v="0"/>
    <n v="103.9999"/>
    <n v="0"/>
    <n v="0"/>
    <s v="0.00"/>
    <n v="2.6360000000000001"/>
  </r>
  <r>
    <s v="VIBELLE BABY RASPBERRY VIT E PH5.5 W 144"/>
    <s v=" QueenTrade LTD"/>
    <x v="105"/>
    <s v="BAGS"/>
    <s v="PH BALANCED"/>
    <n v="144"/>
    <n v="59.2014"/>
    <n v="82.022099999999995"/>
    <n v="31.495899999999999"/>
    <n v="4163.6220999999996"/>
    <n v="5172.0583999999999"/>
    <n v="1931.7985000000001"/>
    <s v="38.55"/>
    <n v="-22.820699999999995"/>
  </r>
  <r>
    <s v="VIBELLE BABY ULTRA SENS.ROSE PH5.5 W 144"/>
    <s v=" QueenTrade LTD"/>
    <x v="105"/>
    <s v="BAGS"/>
    <s v="PH BALANCED"/>
    <n v="144"/>
    <n v="6.7272999999999996"/>
    <n v="1.7110000000000001"/>
    <n v="1.5649999999999999"/>
    <n v="473.34"/>
    <n v="112.14570000000001"/>
    <n v="108.86020000000001"/>
    <s v="-74.57"/>
    <n v="5.0162999999999993"/>
  </r>
  <r>
    <s v="BELUX BABY SENS.CREAM LOTION W 120 BAG"/>
    <s v=" ColorSan"/>
    <x v="106"/>
    <s v="BAGS"/>
    <s v="SENSITIVE"/>
    <n v="120"/>
    <n v="53.944000000000003"/>
    <n v="41.741"/>
    <n v="12.7791"/>
    <n v="3422.2186000000002"/>
    <n v="2176.2671999999998"/>
    <n v="723.71550000000002"/>
    <s v="-22.62"/>
    <n v="12.203000000000003"/>
  </r>
  <r>
    <s v="BELUX ULTRA SENSITIVE W 120/48GRATIS BAG"/>
    <s v=" ColorSan"/>
    <x v="106"/>
    <s v="BAGS"/>
    <s v="SENSITIVE"/>
    <n v="72"/>
    <n v="10.5024"/>
    <n v="1.2988"/>
    <n v="0.38090000000000002"/>
    <n v="626.13580000000002"/>
    <n v="67.750100000000003"/>
    <n v="17.785299999999999"/>
    <s v="-87.63"/>
    <n v="9.2035999999999998"/>
  </r>
  <r>
    <s v="SECKIN PROVITB5 PH5.5 ALC.FREE W 102 BAG"/>
    <s v=" ColorSan"/>
    <x v="107"/>
    <s v="BAGS"/>
    <s v="PH BALANCED"/>
    <n v="102"/>
    <n v="1.4174"/>
    <n v="2.3006000000000002"/>
    <n v="0"/>
    <n v="78.384500000000003"/>
    <n v="113.29300000000001"/>
    <n v="0"/>
    <s v="62.31"/>
    <n v="-0.88320000000000021"/>
  </r>
  <r>
    <s v="SOFT CARE COTTON VIT ECHAMOMILE W 72 BAG"/>
    <s v=" SanHealth LTD"/>
    <x v="108"/>
    <s v="BAGS"/>
    <s v="HYPOALLERGENIC"/>
    <n v="72"/>
    <n v="2.9096000000000002"/>
    <n v="6.0198"/>
    <n v="5.5109000000000004"/>
    <n v="55.366500000000002"/>
    <n v="108.4705"/>
    <n v="98.710099999999997"/>
    <s v="106.89"/>
    <n v="-3.1101999999999999"/>
  </r>
  <r>
    <s v="HOPS P H5.5 W 90/18BONUS ORANJEVI BAG"/>
    <s v=" SaproClean"/>
    <x v="109"/>
    <s v="BAGS"/>
    <s v="PH BALANCED"/>
    <n v="72"/>
    <n v="0"/>
    <n v="0"/>
    <n v="9.1999999999999998E-3"/>
    <n v="0"/>
    <n v="0"/>
    <n v="0.30320000000000003"/>
    <s v="0.00"/>
    <n v="0"/>
  </r>
  <r>
    <s v="DOCTOR WIPES BABY GRAPES W 60 BAG KAPAK"/>
    <s v=" EuroPack Communications SRL"/>
    <x v="110"/>
    <s v="BAGS"/>
    <s v="PH BALANCED"/>
    <n v="60"/>
    <n v="0.35610000000000003"/>
    <n v="0"/>
    <n v="0"/>
    <n v="5.6227"/>
    <n v="0"/>
    <n v="0"/>
    <s v="0.00"/>
    <n v="0.35610000000000003"/>
  </r>
  <r>
    <s v="DOCTOR WIPES BABY W 72 BAG &amp;&amp;&amp;"/>
    <s v=" EuroPack Communications SRL"/>
    <x v="110"/>
    <s v="BAGS"/>
    <s v="WITHOUT EXTRA PROTECTCARE INDICATION"/>
    <n v="72"/>
    <n v="1.3764000000000001"/>
    <n v="2.7699999999999999E-2"/>
    <n v="0"/>
    <n v="28.943100000000001"/>
    <n v="0.64290000000000003"/>
    <n v="0"/>
    <s v="-97.99"/>
    <n v="1.3487"/>
  </r>
  <r>
    <s v="MEDPROFESSIONAL BABYPOWDERARGANOIL W 24"/>
    <s v=" EuroPack Communications SRL"/>
    <x v="111"/>
    <s v="BAGS"/>
    <s v="ALCOHOL FREE"/>
    <n v="24"/>
    <n v="6.7664999999999997"/>
    <n v="0.54779999999999995"/>
    <n v="0"/>
    <n v="162.6651"/>
    <n v="12.7288"/>
    <n v="0"/>
    <s v="-91.90"/>
    <n v="6.2187000000000001"/>
  </r>
  <r>
    <s v="MED PROFESSIONAL BABY ALOE VERA W 60 BAG"/>
    <s v=" EuroPack Communications SRL"/>
    <x v="111"/>
    <s v="BAGS"/>
    <s v="ALCOHOL FREE"/>
    <n v="60"/>
    <n v="14.513400000000001"/>
    <n v="11.551399999999999"/>
    <n v="8.6715"/>
    <n v="383.46769999999998"/>
    <n v="307.81580000000002"/>
    <n v="255.3304"/>
    <s v="-20.41"/>
    <n v="2.9620000000000015"/>
  </r>
  <r>
    <s v="MEDPROFESSIONAL BABYGRAPESEEDOIL W 60BAG"/>
    <s v=" EuroPack Communications SRL"/>
    <x v="111"/>
    <s v="BAGS"/>
    <s v="ALCOHOL FREE"/>
    <n v="60"/>
    <n v="17.654699999999998"/>
    <n v="12.539"/>
    <n v="4.6113"/>
    <n v="482.61590000000001"/>
    <n v="340.10579999999999"/>
    <n v="153.12389999999999"/>
    <s v="-28.98"/>
    <n v="5.1156999999999986"/>
  </r>
  <r>
    <s v="SPRING LINE  FreshClean W 120 BAG &amp;&amp;&amp;"/>
    <s v=" EuroPack Communications SRL"/>
    <x v="112"/>
    <s v="BAGS"/>
    <s v="WITHOUT EXTRA PROTECTCARE INDICATION"/>
    <n v="120"/>
    <n v="20.231999999999999"/>
    <n v="11.313700000000001"/>
    <n v="0"/>
    <n v="583.67819999999995"/>
    <n v="345.19709999999998"/>
    <n v="0"/>
    <s v="-44.08"/>
    <n v="8.9182999999999986"/>
  </r>
  <r>
    <s v="GIAN BABY CREAM PH5.5 W 120 BAG"/>
    <s v=" SigmaKappaZeta Co."/>
    <x v="113"/>
    <s v="BAGS"/>
    <s v="PH BALANCED"/>
    <n v="120"/>
    <n v="0"/>
    <n v="20.586300000000001"/>
    <n v="29.262499999999999"/>
    <n v="0"/>
    <n v="1265.0245"/>
    <n v="1657.2372"/>
    <s v="0.00"/>
    <n v="-20.586300000000001"/>
  </r>
  <r>
    <s v="GIAN BABY CREAM PH5.5 W 72 BAG"/>
    <s v=" SigmaKappaZeta Co."/>
    <x v="113"/>
    <s v="BAGS"/>
    <s v="PH BALANCED"/>
    <n v="72"/>
    <n v="26.3474"/>
    <n v="52.005499999999998"/>
    <n v="32.744900000000001"/>
    <n v="920.46799999999996"/>
    <n v="1819.1769999999999"/>
    <n v="1062.7058999999999"/>
    <s v="97.38"/>
    <n v="-25.658099999999997"/>
  </r>
  <r>
    <s v="SEBAMED BABYCLEANSING EXTRASOFT W 72 BAG"/>
    <s v=" SebaMedicines"/>
    <x v="114"/>
    <s v="BAGS"/>
    <s v="WITHOUT EXTRA PROTECTCARE INDICATION"/>
    <n v="72"/>
    <n v="0.1701"/>
    <n v="0.71989999999999998"/>
    <n v="4.9299999999999997E-2"/>
    <n v="1.008"/>
    <n v="3.8765000000000001"/>
    <n v="0.28799999999999998"/>
    <s v="323.22"/>
    <n v="-0.54979999999999996"/>
  </r>
  <r>
    <s v="SEBAMED BABY OIL WIPES W 70 BOX"/>
    <s v=" SebaMedicines"/>
    <x v="114"/>
    <s v="BOX"/>
    <s v="WITHOUT EXTRA PROTECTCARE INDICATION"/>
    <n v="70"/>
    <n v="0.8034"/>
    <n v="0.64690000000000003"/>
    <n v="0.2069"/>
    <n v="3.92"/>
    <n v="3.48"/>
    <n v="1.1399999999999999"/>
    <s v="-19.48"/>
    <n v="0.15649999999999997"/>
  </r>
  <r>
    <s v="MAMMI PH5.5 ALC.FREE W 72 BAG SINI"/>
    <s v=" SignalTrade"/>
    <x v="115"/>
    <s v="BAGS"/>
    <s v="PH BALANCED"/>
    <n v="72"/>
    <n v="16.393699999999999"/>
    <n v="13.5199"/>
    <n v="5.5843999999999996"/>
    <n v="841.14940000000001"/>
    <n v="693.07759999999996"/>
    <n v="305.17070000000001"/>
    <s v="-17.53"/>
    <n v="2.8737999999999992"/>
  </r>
  <r>
    <s v="MAMMI PH5.5 ALC.FREE W 72 BAG ZELENI"/>
    <s v=" SignalTrade"/>
    <x v="115"/>
    <s v="BAGS"/>
    <s v="PH BALANCED"/>
    <n v="72"/>
    <n v="2.1175000000000002"/>
    <n v="0.66620000000000001"/>
    <n v="0"/>
    <n v="137.34479999999999"/>
    <n v="41.348700000000001"/>
    <n v="0"/>
    <s v="-68.54"/>
    <n v="1.4513000000000003"/>
  </r>
  <r>
    <s v="ASALI BABY ULTRA SOFT VIT.E W 120 BAG"/>
    <s v=" SepaTextiles"/>
    <x v="116"/>
    <s v="BAGS"/>
    <s v="PH BALANCED"/>
    <n v="120"/>
    <n v="1.9984999999999999"/>
    <n v="3.2300000000000002E-2"/>
    <n v="0"/>
    <n v="141.71469999999999"/>
    <n v="1.9971000000000001"/>
    <n v="0"/>
    <s v="-98.38"/>
    <n v="1.9661999999999999"/>
  </r>
  <r>
    <s v="COTTON SOFT CHAMOMILE ALC.FREE W 100 BAG"/>
    <s v=" SepaTextiles"/>
    <x v="117"/>
    <s v="BAGS"/>
    <s v="ALCOHOL FREE"/>
    <n v="100"/>
    <n v="136.17420000000001"/>
    <n v="152.24180000000001"/>
    <n v="70.924899999999994"/>
    <n v="7155.8876"/>
    <n v="7606.2596000000003"/>
    <n v="3236.7058000000002"/>
    <s v="11.80"/>
    <n v="-16.067599999999999"/>
  </r>
  <r>
    <s v="COTTON SOFT PH5.5 W 120 BAG KAPAK"/>
    <s v=" SepaTextiles"/>
    <x v="117"/>
    <s v="BAGS"/>
    <s v="PH BALANCED"/>
    <n v="120"/>
    <n v="166.38550000000001"/>
    <n v="154.19909999999999"/>
    <n v="78.409199999999998"/>
    <n v="8805.9477000000006"/>
    <n v="8032.0802000000003"/>
    <n v="3983.7687000000001"/>
    <s v="-7.32"/>
    <n v="12.18640000000002"/>
  </r>
  <r>
    <s v="COTTON SOFT PH5.5 W 72 BAG KAPAK"/>
    <s v=" SepaTextiles"/>
    <x v="117"/>
    <s v="BAGS"/>
    <s v="PH BALANCED"/>
    <n v="72"/>
    <n v="7.4499999999999997E-2"/>
    <n v="0"/>
    <n v="0"/>
    <n v="5.2851999999999997"/>
    <n v="0"/>
    <n v="0"/>
    <s v="0.00"/>
    <n v="7.4499999999999997E-2"/>
  </r>
  <r>
    <s v="COTTON SOFT W 72 BAG"/>
    <s v=" SepaTextiles"/>
    <x v="117"/>
    <s v="BAGS"/>
    <s v="WITHOUT EXTRA PROTECTCARE INDICATION"/>
    <n v="72"/>
    <n v="4.2912999999999997"/>
    <n v="3.2158000000000002"/>
    <n v="0.39529999999999998"/>
    <n v="253.55109999999999"/>
    <n v="179.24690000000001"/>
    <n v="19.092600000000001"/>
    <s v="-25.06"/>
    <n v="1.0754999999999995"/>
  </r>
  <r>
    <s v="ELVIM BABY JUMBO SENSITIVE W 120 BAG"/>
    <s v=" SepaTextiles"/>
    <x v="118"/>
    <s v="BAGS"/>
    <s v="SENSITIVE"/>
    <n v="120"/>
    <n v="12.5473"/>
    <n v="21.5989"/>
    <n v="10.3498"/>
    <n v="734.85479999999995"/>
    <n v="1234.4389000000001"/>
    <n v="587.04769999999996"/>
    <s v="72.14"/>
    <n v="-9.0516000000000005"/>
  </r>
  <r>
    <s v="ELVIM ULTRA SENSITIVE VIT E&amp;B5 W 70 BAG"/>
    <s v=" SepaTextiles"/>
    <x v="118"/>
    <s v="BAGS"/>
    <s v="SENSITIVE"/>
    <n v="70"/>
    <n v="0.68669999999999998"/>
    <n v="0"/>
    <n v="0"/>
    <n v="52.465899999999998"/>
    <n v="0"/>
    <n v="0"/>
    <s v="0.00"/>
    <n v="0.68669999999999998"/>
  </r>
  <r>
    <s v="ELVIM BABY ULTRASENSITIVE LOTION&amp;VITE 72"/>
    <s v=" SepaTextiles"/>
    <x v="118"/>
    <s v="BAGS"/>
    <s v="SENSITIVE"/>
    <n v="72"/>
    <n v="37.213999999999999"/>
    <n v="7.2126999999999999"/>
    <n v="0"/>
    <n v="2501.2190000000001"/>
    <n v="451.55340000000001"/>
    <n v="0"/>
    <s v="-80.62"/>
    <n v="30.001300000000001"/>
  </r>
  <r>
    <s v="ELVIM BABY ULTRASENSITIVE LOTION&amp;VITE 90"/>
    <s v=" SepaTextiles"/>
    <x v="118"/>
    <s v="BAGS"/>
    <s v="SENSITIVE"/>
    <n v="90"/>
    <n v="2.7111999999999998"/>
    <n v="0"/>
    <n v="0"/>
    <n v="136.8194"/>
    <n v="0"/>
    <n v="0"/>
    <s v="0.00"/>
    <n v="2.7111999999999998"/>
  </r>
  <r>
    <s v="FLAMINGO BABY ULTRASENS.LOTION&amp;VITE 70 B"/>
    <s v=" SepaTextiles"/>
    <x v="119"/>
    <s v="BAGS"/>
    <s v="SENSITIVE"/>
    <n v="70"/>
    <n v="0"/>
    <n v="19.032699999999998"/>
    <n v="19.713699999999999"/>
    <n v="0"/>
    <n v="1111.0531000000001"/>
    <n v="1063.3096"/>
    <s v="0.00"/>
    <n v="-19.032699999999998"/>
  </r>
  <r>
    <s v="INCI FRESH VITE&amp;PROVITB5 ALC.FREE W 100"/>
    <s v=" SepaTextiles"/>
    <x v="120"/>
    <s v="BAGS"/>
    <s v="ALCOHOL FREE"/>
    <n v="100"/>
    <n v="1.0042"/>
    <n v="0"/>
    <n v="0"/>
    <n v="76.638000000000005"/>
    <n v="0"/>
    <n v="0"/>
    <s v="0.00"/>
    <n v="1.0042"/>
  </r>
  <r>
    <s v="INCI FRESH VITE&amp;PROVITB5 PH5.5 W 120 BAG"/>
    <s v=" SepaTextiles"/>
    <x v="120"/>
    <s v="BAGS"/>
    <s v="PH BALANCED"/>
    <n v="120"/>
    <n v="251.465"/>
    <n v="145.75579999999999"/>
    <n v="77.822699999999998"/>
    <n v="15122.0514"/>
    <n v="8717.0684000000001"/>
    <n v="4462.7493999999997"/>
    <s v="-42.04"/>
    <n v="105.70920000000001"/>
  </r>
  <r>
    <s v="INCI FRESH ULTRASOFT VITE&amp;PROVITB5 W 144"/>
    <s v=" SepaTextiles"/>
    <x v="120"/>
    <s v="BAGS"/>
    <s v="ALCOHOL FREE"/>
    <n v="144"/>
    <n v="15.856"/>
    <n v="22.015000000000001"/>
    <n v="3.4060000000000001"/>
    <n v="1023.9475"/>
    <n v="1391.8684000000001"/>
    <n v="229.50649999999999"/>
    <s v="38.84"/>
    <n v="-6.1590000000000007"/>
  </r>
  <r>
    <s v="INCI FRESH VITE&amp;PROVITB5 PH5.5 W 60 BAG"/>
    <s v=" SepaTextiles"/>
    <x v="120"/>
    <s v="BAGS"/>
    <s v="PH BALANCED"/>
    <n v="60"/>
    <n v="0"/>
    <n v="0"/>
    <n v="0.28920000000000001"/>
    <n v="0"/>
    <n v="0"/>
    <n v="17.3521"/>
    <s v="0.00"/>
    <n v="0"/>
  </r>
  <r>
    <s v="INCI FRESH VITE&amp;PROVITB5 PH5.5 W 72 BAG"/>
    <s v=" SepaTextiles"/>
    <x v="120"/>
    <s v="BAGS"/>
    <s v="PH BALANCED"/>
    <n v="72"/>
    <n v="2.5535999999999999"/>
    <n v="3.8500999999999999"/>
    <n v="0.82650000000000001"/>
    <n v="126.3817"/>
    <n v="174.249"/>
    <n v="46.762"/>
    <s v="50.77"/>
    <n v="-1.2965"/>
  </r>
  <r>
    <s v="INCI FRESH VITE&amp;PROVITB5 PH5.5 W 90/18FR"/>
    <s v=" SepaTextiles"/>
    <x v="120"/>
    <s v="BAGS"/>
    <s v="PH BALANCED"/>
    <n v="72"/>
    <n v="0"/>
    <n v="0.25659999999999999"/>
    <n v="0"/>
    <n v="0"/>
    <n v="13.196899999999999"/>
    <n v="0"/>
    <s v="0.00"/>
    <n v="-0.25659999999999999"/>
  </r>
  <r>
    <s v="SEPTONA CALM NCARE CHAMOM BABY 12 W BAG"/>
    <s v=" SeptOn SA"/>
    <x v="121"/>
    <s v="BAGS"/>
    <s v="ALCOHOL FREE"/>
    <n v="12"/>
    <n v="0"/>
    <n v="0.5504"/>
    <n v="0.74670000000000003"/>
    <n v="0"/>
    <n v="6.7556000000000003"/>
    <n v="9.0073000000000008"/>
    <s v="0.00"/>
    <n v="-0.5504"/>
  </r>
  <r>
    <s v="SEPTONA ALOE VERA BABY ALC.FREE 20 BAG"/>
    <s v=" SeptOn SA"/>
    <x v="121"/>
    <s v="BAGS"/>
    <s v="ALCOHOL FREE"/>
    <n v="20"/>
    <n v="4.7511999999999999"/>
    <n v="3.7549000000000001"/>
    <n v="1.1405000000000001"/>
    <n v="70.328999999999994"/>
    <n v="55.465600000000002"/>
    <n v="16.475899999999999"/>
    <s v="-20.97"/>
    <n v="0.99629999999999974"/>
  </r>
  <r>
    <s v="SEPTONA CHAMOMILE BABY 20 W BAG"/>
    <s v=" SeptOn SA"/>
    <x v="121"/>
    <s v="BAGS"/>
    <s v="WITHOUT EXTRA PROTECTCARE INDICATION"/>
    <n v="20"/>
    <n v="1.23E-2"/>
    <n v="2.7799999999999998E-2"/>
    <n v="0"/>
    <n v="0.18"/>
    <n v="0.46179999999999999"/>
    <n v="0"/>
    <s v="126.02"/>
    <n v="-1.5499999999999998E-2"/>
  </r>
  <r>
    <s v="SEPTONA SENSITIVE ALMOND&amp;MILK W 20 BAG"/>
    <s v=" SeptOn SA"/>
    <x v="121"/>
    <s v="BAGS"/>
    <s v="SENSITIVE"/>
    <n v="20"/>
    <n v="11.1968"/>
    <n v="6.3734000000000002"/>
    <n v="1.3038000000000001"/>
    <n v="170.3914"/>
    <n v="94.576999999999998"/>
    <n v="19.252400000000002"/>
    <s v="-43.08"/>
    <n v="4.8233999999999995"/>
  </r>
  <r>
    <s v="SEPTONA SENSITIVE CALMN CARE W 54 BAG"/>
    <s v=" SeptOn SA"/>
    <x v="121"/>
    <s v="BAGS"/>
    <s v="SENSITIVE"/>
    <n v="54"/>
    <n v="0"/>
    <n v="0.89970000000000006"/>
    <n v="2.4813999999999998"/>
    <n v="0"/>
    <n v="21.057300000000001"/>
    <n v="55.505499999999998"/>
    <s v="0.00"/>
    <n v="-0.89970000000000006"/>
  </r>
  <r>
    <s v="SEPTONA CALM NCARE PANTENOL W 57 BAG"/>
    <s v=" SeptOn SA"/>
    <x v="121"/>
    <s v="BAGS"/>
    <s v="ALCOHOL FREE"/>
    <n v="57"/>
    <n v="2.3999999999999998E-3"/>
    <n v="0"/>
    <n v="0"/>
    <n v="5.7000000000000002E-2"/>
    <n v="0"/>
    <n v="0"/>
    <s v="0.00"/>
    <n v="2.3999999999999998E-3"/>
  </r>
  <r>
    <s v="SEPTONA ALOE VERA BABY 64 BAG"/>
    <s v=" SeptOn SA"/>
    <x v="121"/>
    <s v="BAGS"/>
    <s v="WITHOUT EXTRA PROTECTCARE INDICATION"/>
    <n v="64"/>
    <n v="0.22650000000000001"/>
    <n v="0"/>
    <n v="0"/>
    <n v="7.2465999999999999"/>
    <n v="0"/>
    <n v="0"/>
    <s v="0.00"/>
    <n v="0.22650000000000001"/>
  </r>
  <r>
    <s v="SEPTONA CHAMOMILE BABY 3X64/1GR W BAG"/>
    <s v=" SeptOn SA"/>
    <x v="121"/>
    <s v="BAGS"/>
    <s v="PH BALANCED"/>
    <n v="64"/>
    <n v="0.74809999999999999"/>
    <n v="0"/>
    <n v="0"/>
    <n v="25.650500000000001"/>
    <n v="0"/>
    <n v="0"/>
    <s v="0.00"/>
    <n v="0.74809999999999999"/>
  </r>
  <r>
    <s v="SEPTONA CHAMOMILE BABY 64 W BAG"/>
    <s v=" SeptOn SA"/>
    <x v="121"/>
    <s v="BAGS"/>
    <s v="PH BALANCED"/>
    <n v="64"/>
    <n v="7.1352000000000002"/>
    <n v="0.98229999999999995"/>
    <n v="0.17499999999999999"/>
    <n v="199.79089999999999"/>
    <n v="31.398199999999999"/>
    <n v="5.5553999999999997"/>
    <s v="-86.23"/>
    <n v="6.1529000000000007"/>
  </r>
  <r>
    <s v="SEPTONA CHAMOMILE BABY 64 W BAG KAPAK"/>
    <s v=" SeptOn SA"/>
    <x v="121"/>
    <s v="BAGS"/>
    <s v="PH BALANCED"/>
    <n v="64"/>
    <n v="38.636499999999998"/>
    <n v="25.403500000000001"/>
    <n v="9.4920000000000009"/>
    <n v="1064.7156"/>
    <n v="712.85350000000005"/>
    <n v="244.268"/>
    <s v="-34.25"/>
    <n v="13.232999999999997"/>
  </r>
  <r>
    <s v="SEPTONA SENSITIVE ALMOND&amp;MILK W 64 BAG"/>
    <s v=" SeptOn SA"/>
    <x v="121"/>
    <s v="BAGS"/>
    <s v="SENSITIVE"/>
    <n v="64"/>
    <n v="3.0739999999999998"/>
    <n v="0.314"/>
    <n v="6.4199999999999993E-2"/>
    <n v="79.571700000000007"/>
    <n v="7.3994999999999997"/>
    <n v="1.5809"/>
    <s v="-89.79"/>
    <n v="2.76"/>
  </r>
  <r>
    <s v="SEPTONA SENSITIVE CALMN CARE W 64 BAG"/>
    <s v=" SeptOn SA"/>
    <x v="121"/>
    <s v="BAGS"/>
    <s v="SENSITIVE"/>
    <n v="64"/>
    <n v="57.373899999999999"/>
    <n v="28.978999999999999"/>
    <n v="4.5244999999999997"/>
    <n v="1605.2121"/>
    <n v="798.29169999999999"/>
    <n v="128.11799999999999"/>
    <s v="-49.49"/>
    <n v="28.3949"/>
  </r>
  <r>
    <s v="SEPTONA MILD FRAGANCE ALC.FREE W 72 BAG"/>
    <s v=" SeptOn SA"/>
    <x v="121"/>
    <s v="BAGS"/>
    <s v="ALCOHOL FREE"/>
    <n v="72"/>
    <n v="0.84319999999999995"/>
    <n v="0"/>
    <n v="0"/>
    <n v="38.896500000000003"/>
    <n v="0"/>
    <n v="0"/>
    <s v="0.00"/>
    <n v="0.84319999999999995"/>
  </r>
  <r>
    <s v="SEPTONA CALM NCARE PANTENOL W 75 BAG"/>
    <s v=" SeptOn SA"/>
    <x v="121"/>
    <s v="BAGS"/>
    <s v="ALCOHOL FREE"/>
    <n v="75"/>
    <n v="0.32700000000000001"/>
    <n v="7.9399999999999998E-2"/>
    <n v="0"/>
    <n v="8.1380999999999997"/>
    <n v="2.0009000000000001"/>
    <n v="0"/>
    <s v="-75.72"/>
    <n v="0.24760000000000001"/>
  </r>
  <r>
    <s v="SEPTONA CALMN CARE ALOE VERA W 80 BAG"/>
    <s v=" SeptOn SA"/>
    <x v="121"/>
    <s v="BAGS"/>
    <s v="ALCOHOL FREE"/>
    <n v="80"/>
    <n v="30.607399999999998"/>
    <n v="87.617999999999995"/>
    <n v="25.586099999999998"/>
    <n v="1468.2443000000001"/>
    <n v="4062.0709999999999"/>
    <n v="1119.9051999999999"/>
    <s v="186.26"/>
    <n v="-57.010599999999997"/>
  </r>
  <r>
    <s v="IASSMIN BABY CREAM PH5.5 W 72 BAG"/>
    <s v=" LovelyCo"/>
    <x v="122"/>
    <s v="BAGS"/>
    <s v="PH BALANCED"/>
    <n v="72"/>
    <n v="0.26200000000000001"/>
    <n v="0.1656"/>
    <n v="0"/>
    <n v="18.860299999999999"/>
    <n v="11.920500000000001"/>
    <n v="0"/>
    <s v="-36.79"/>
    <n v="9.6400000000000013E-2"/>
  </r>
  <r>
    <s v="JUNIOR&amp;TOMMY SENSITIVE W 120 BAG KAPAK"/>
    <s v=" LovelyCo"/>
    <x v="123"/>
    <s v="BAGS"/>
    <s v="SENSITIVE"/>
    <n v="120"/>
    <n v="8.2482000000000006"/>
    <n v="0.97330000000000005"/>
    <n v="0"/>
    <n v="505.78250000000003"/>
    <n v="58.400799999999997"/>
    <n v="0"/>
    <s v="-88.20"/>
    <n v="7.2749000000000006"/>
  </r>
  <r>
    <s v="NIKI BABY ALC.FREE W 130/10FR BAG KAPAK"/>
    <s v=" LovelyCo"/>
    <x v="124"/>
    <s v="BAGS"/>
    <s v="ALCOHOL FREE"/>
    <n v="120"/>
    <n v="5.7763"/>
    <n v="9.2917000000000005"/>
    <n v="0.95250000000000001"/>
    <n v="311.05720000000002"/>
    <n v="539.97619999999995"/>
    <n v="61.781700000000001"/>
    <s v="60.86"/>
    <n v="-3.5154000000000005"/>
  </r>
  <r>
    <s v="PEPINO BABY P H5.5 W 120/20FREE BAG"/>
    <s v=" LovelyCo"/>
    <x v="125"/>
    <s v="BAGS"/>
    <s v="PH BALANCED"/>
    <n v="100"/>
    <n v="55.7286"/>
    <n v="53.311300000000003"/>
    <n v="19.850100000000001"/>
    <n v="3644.6801999999998"/>
    <n v="3675.9913999999999"/>
    <n v="1253.7541000000001"/>
    <s v="-4.34"/>
    <n v="2.4172999999999973"/>
  </r>
  <r>
    <s v="PEPINO BABY P H5.5 W 130/10FREE BAG"/>
    <s v=" LovelyCo"/>
    <x v="125"/>
    <s v="BAGS"/>
    <s v="ALCOHOL FREE"/>
    <n v="120"/>
    <n v="0"/>
    <n v="4.4955999999999996"/>
    <n v="0"/>
    <n v="0"/>
    <n v="365.2654"/>
    <n v="0"/>
    <s v="0.00"/>
    <n v="-4.4955999999999996"/>
  </r>
  <r>
    <s v="PEPINO BABY SOFT&amp;LUX P H5.5 W 70 BAG"/>
    <s v=" LovelyCo"/>
    <x v="125"/>
    <s v="BAGS"/>
    <s v="PH BALANCED"/>
    <n v="70"/>
    <n v="5.5199999999999999E-2"/>
    <n v="0"/>
    <n v="0"/>
    <n v="3.36"/>
    <n v="0"/>
    <n v="0"/>
    <s v="0.00"/>
    <n v="5.5199999999999999E-2"/>
  </r>
  <r>
    <s v="RENKLI MAGIC P H5.5 W 120 BAG KAPAK"/>
    <s v=" LovelyCo"/>
    <x v="126"/>
    <s v="BAGS"/>
    <s v="PH BALANCED"/>
    <n v="120"/>
    <n v="5.3959999999999999"/>
    <n v="7.0095999999999998"/>
    <n v="3.0608"/>
    <n v="290.08819999999997"/>
    <n v="393.84969999999998"/>
    <n v="158.0343"/>
    <s v="29.90"/>
    <n v="-1.6135999999999999"/>
  </r>
  <r>
    <s v="RENKLI PREMIUM BABY ALC.FREE W 130 BAG"/>
    <s v=" LovelyCo"/>
    <x v="126"/>
    <s v="BAGS"/>
    <s v="ALCOHOL FREE"/>
    <n v="130"/>
    <n v="39.775100000000002"/>
    <n v="29.160399999999999"/>
    <n v="6.0876999999999999"/>
    <n v="2342.4566"/>
    <n v="1534.7882999999999"/>
    <n v="287.5865"/>
    <s v="-26.69"/>
    <n v="10.614700000000003"/>
  </r>
  <r>
    <s v="RENKLI BABY KIDS P H5.5 W 72 BAG"/>
    <s v=" LovelyCo"/>
    <x v="126"/>
    <s v="BAGS"/>
    <s v="PH BALANCED"/>
    <n v="72"/>
    <n v="73.361099999999993"/>
    <n v="57.603700000000003"/>
    <n v="12.2355"/>
    <n v="4307.2969000000003"/>
    <n v="3235.6705999999999"/>
    <n v="650.06870000000004"/>
    <s v="-21.48"/>
    <n v="15.75739999999999"/>
  </r>
  <r>
    <s v="RENKLI BABY KIDS P H5.5 W 72 BAG KAPAK"/>
    <s v=" LovelyCo"/>
    <x v="126"/>
    <s v="BAGS"/>
    <s v="PH BALANCED"/>
    <n v="72"/>
    <n v="7.6637000000000004"/>
    <n v="5.7187999999999999"/>
    <n v="3.4293999999999998"/>
    <n v="412.75630000000001"/>
    <n v="314.68810000000002"/>
    <n v="185.42320000000001"/>
    <s v="-25.38"/>
    <n v="1.9449000000000005"/>
  </r>
  <r>
    <s v="RENKLI ZOO ANTIBACTERIAL W 72 BAG KAPAK"/>
    <s v=" LovelyCo"/>
    <x v="126"/>
    <s v="BAGS"/>
    <s v="PH BALANCED"/>
    <n v="72"/>
    <n v="97.800700000000006"/>
    <n v="61.680799999999998"/>
    <n v="23.825800000000001"/>
    <n v="4426.3535000000002"/>
    <n v="2861.6763999999998"/>
    <n v="975.65369999999996"/>
    <s v="-36.93"/>
    <n v="36.119900000000008"/>
  </r>
  <r>
    <s v="RENKLI BABY LUX PH5.5 W 2X80 BAG"/>
    <s v=" LovelyCo"/>
    <x v="126"/>
    <s v="BAGS"/>
    <s v="PH BALANCED"/>
    <n v="80"/>
    <n v="137.74010000000001"/>
    <n v="71.2029"/>
    <n v="36.735799999999998"/>
    <n v="9592.0316999999995"/>
    <n v="4713.7775000000001"/>
    <n v="2155.8667"/>
    <s v="-48.31"/>
    <n v="66.537200000000013"/>
  </r>
  <r>
    <s v="RENKLI BABY LUX W 80 BAG KAPACHE"/>
    <s v=" LovelyCo"/>
    <x v="126"/>
    <s v="BAGS"/>
    <s v="ALCOHOL FREE"/>
    <n v="80"/>
    <n v="34.508099999999999"/>
    <n v="21.348800000000001"/>
    <n v="13.753299999999999"/>
    <n v="2073.3334"/>
    <n v="1342.2397000000001"/>
    <n v="736.28099999999995"/>
    <s v="-38.13"/>
    <n v="13.159299999999998"/>
  </r>
  <r>
    <s v="SWEET BABY ALOEVERA PH5.5 W 72 BAG KAPAK"/>
    <s v=" LovelyCo"/>
    <x v="127"/>
    <s v="BAGS"/>
    <s v="PH BALANCED"/>
    <n v="72"/>
    <n v="0"/>
    <n v="3.1300000000000001E-2"/>
    <n v="0"/>
    <n v="0"/>
    <n v="1.2579"/>
    <n v="0"/>
    <s v="0.00"/>
    <n v="-3.1300000000000001E-2"/>
  </r>
  <r>
    <s v="FARMACOTONE BEBE CALENDULA SENS. 60 BAG"/>
    <s v=" Quake S.P.A."/>
    <x v="128"/>
    <s v="BAGS"/>
    <s v="SENSITIVE"/>
    <n v="60"/>
    <n v="7.7399999999999997E-2"/>
    <n v="0.20100000000000001"/>
    <n v="1.1599999999999999E-2"/>
    <n v="1.2943"/>
    <n v="3.8485999999999998"/>
    <n v="0.1971"/>
    <s v="159.69"/>
    <n v="-0.12360000000000002"/>
  </r>
  <r>
    <s v="FARMACOTONE BIO ALOE&amp;ALMOND PH5.5 72 BAG"/>
    <s v=" Quake S.P.A."/>
    <x v="128"/>
    <s v="BAGS"/>
    <s v="PH BALANCED"/>
    <n v="72"/>
    <n v="6.8400000000000002E-2"/>
    <n v="9.8500000000000004E-2"/>
    <n v="3.8800000000000001E-2"/>
    <n v="1.5943000000000001"/>
    <n v="2.7256999999999998"/>
    <n v="0.93600000000000005"/>
    <s v="44.01"/>
    <n v="-3.0100000000000002E-2"/>
  </r>
  <r>
    <s v="VOI MULTI VITAMINS PH5.5 W 100 BAG SINI"/>
    <s v=" HappyBeauty A.S."/>
    <x v="129"/>
    <s v="BAGS"/>
    <s v="PH BALANCED"/>
    <n v="100"/>
    <n v="1.2095"/>
    <n v="0"/>
    <n v="0"/>
    <n v="58.601599999999998"/>
    <n v="0"/>
    <n v="0"/>
    <s v="0.00"/>
    <n v="1.2095"/>
  </r>
  <r>
    <s v="VOI CREAM LOTION PH5.5 W 120 BAG KAPAK"/>
    <s v=" HappyBeauty A.S."/>
    <x v="129"/>
    <s v="BAGS"/>
    <s v="PH BALANCED"/>
    <n v="120"/>
    <n v="3.4049"/>
    <n v="0"/>
    <n v="0"/>
    <n v="181.5942"/>
    <n v="0"/>
    <n v="0"/>
    <s v="0.00"/>
    <n v="3.4049"/>
  </r>
  <r>
    <s v="VOI CHAMOMILE PH5.5 W 72 BAG KAPAK"/>
    <s v=" HappyBeauty A.S."/>
    <x v="129"/>
    <s v="BAGS"/>
    <s v="PH BALANCED"/>
    <n v="72"/>
    <n v="0.27539999999999998"/>
    <n v="0"/>
    <n v="0"/>
    <n v="11.6632"/>
    <n v="0"/>
    <n v="0"/>
    <s v="0.00"/>
    <n v="0.27539999999999998"/>
  </r>
  <r>
    <s v="VOI CREAM LOTION PH5.5 W 72 BAG KAPAK"/>
    <s v=" HappyBeauty A.S."/>
    <x v="129"/>
    <s v="BAGS"/>
    <s v="PH BALANCED"/>
    <n v="72"/>
    <n v="0.36249999999999999"/>
    <n v="0"/>
    <n v="0"/>
    <n v="17.400500000000001"/>
    <n v="0"/>
    <n v="0"/>
    <s v="0.00"/>
    <n v="0.36249999999999999"/>
  </r>
  <r>
    <s v="TOVA  FreshClean PH5.5 W 120 BAG"/>
    <s v=" QueenStand Investment"/>
    <x v="130"/>
    <s v="BAGS"/>
    <s v="PH BALANCED"/>
    <n v="120"/>
    <n v="0"/>
    <n v="0"/>
    <n v="3.1633"/>
    <n v="0"/>
    <n v="0"/>
    <n v="171.71680000000001"/>
    <s v="0.00"/>
    <n v="0"/>
  </r>
  <r>
    <s v="ALVESTA BABY PH5.5 W 120 BAG KAPAK"/>
    <s v=" BladeSon LTD"/>
    <x v="131"/>
    <s v="BAGS"/>
    <s v="PH BALANCED"/>
    <n v="120"/>
    <n v="0"/>
    <n v="10.313499999999999"/>
    <n v="10.635400000000001"/>
    <n v="0"/>
    <n v="475.9119"/>
    <n v="461.80500000000001"/>
    <s v="0.00"/>
    <n v="-10.313499999999999"/>
  </r>
  <r>
    <s v="ALVESTA BABY PH5.5 W 72 BAG KAPAK"/>
    <s v=" BladeSon LTD"/>
    <x v="131"/>
    <s v="BAGS"/>
    <s v="PH BALANCED"/>
    <n v="72"/>
    <n v="54.988799999999998"/>
    <n v="32.909799999999997"/>
    <n v="13.822900000000001"/>
    <n v="1994.8981000000001"/>
    <n v="1164.6792"/>
    <n v="463.84859999999998"/>
    <s v="-40.15"/>
    <n v="22.079000000000001"/>
  </r>
  <r>
    <s v="MIS MAK CLEANSE&amp;REFRESH PH5.5 W 72 BAG"/>
    <s v=" BladeSon LTD"/>
    <x v="132"/>
    <s v="BAGS"/>
    <s v="PH BALANCED"/>
    <n v="72"/>
    <n v="0.1076"/>
    <n v="0.1249"/>
    <n v="7.1900000000000006E-2"/>
    <n v="5.5374999999999996"/>
    <n v="6.4203000000000001"/>
    <n v="3.698"/>
    <s v="16.08"/>
    <n v="-1.7299999999999996E-2"/>
  </r>
  <r>
    <s v="BIVY BABY NEWBORN W 60 BAG KAPAK"/>
    <s v=" TahaChem Cosmetics"/>
    <x v="133"/>
    <s v="BAGS"/>
    <s v="ALCOHOL FREE"/>
    <n v="60"/>
    <n v="0.30349999999999999"/>
    <n v="7.7100000000000002E-2"/>
    <n v="0"/>
    <n v="10.7111"/>
    <n v="2.9864999999999999"/>
    <n v="0"/>
    <s v="-74.60"/>
    <n v="0.22639999999999999"/>
  </r>
  <r>
    <s v="BIVY SOFT&amp;FRESH PROVITB5&amp;VITE W 72 BAG"/>
    <s v=" TahaChem Cosmetics"/>
    <x v="133"/>
    <s v="BAGS"/>
    <s v="ALCOHOL FREE"/>
    <n v="72"/>
    <n v="34.620800000000003"/>
    <n v="13.6218"/>
    <n v="2.1793999999999998"/>
    <n v="2351.0409"/>
    <n v="917.37919999999997"/>
    <n v="151.65029999999999"/>
    <s v="-60.65"/>
    <n v="20.999000000000002"/>
  </r>
  <r>
    <s v="DAISY BABY WET WIPES W 120 BAG"/>
    <s v=" TextileSan"/>
    <x v="134"/>
    <s v="BAGS"/>
    <s v="WITHOUT EXTRA PROTECTCARE INDICATION"/>
    <n v="120"/>
    <n v="0"/>
    <n v="0"/>
    <n v="1.9407000000000001"/>
    <n v="0"/>
    <n v="0"/>
    <n v="110.1146"/>
    <s v="0.00"/>
    <n v="0"/>
  </r>
  <r>
    <s v="BEBECAN PH5.5 W 72 BAG TNCR GIDA KAPAK"/>
    <s v=" FoodTNCR"/>
    <x v="135"/>
    <s v="BAGS"/>
    <s v="PH BALANCED"/>
    <n v="72"/>
    <n v="2.0785999999999998"/>
    <n v="7.1199999999999999E-2"/>
    <n v="0"/>
    <n v="104.04649999999999"/>
    <n v="3.8216000000000001"/>
    <n v="0"/>
    <s v="-96.57"/>
    <n v="2.0073999999999996"/>
  </r>
  <r>
    <s v="HUGO BABY ALC.FREE W 120 BAG"/>
    <s v=" TroyBeauty Trade"/>
    <x v="136"/>
    <s v="BAGS"/>
    <s v="ALCOHOL FREE"/>
    <n v="120"/>
    <n v="0"/>
    <n v="0"/>
    <n v="0.1532"/>
    <n v="0"/>
    <n v="0"/>
    <n v="9.1946999999999992"/>
    <s v="0.00"/>
    <n v="0"/>
  </r>
  <r>
    <s v="PROSOFT VITE&amp;PROVITB5 W 72 BAG CHERVENI"/>
    <s v=" TroyBeauty Trade"/>
    <x v="137"/>
    <s v="BAGS"/>
    <s v="ALCOHOL FREE"/>
    <n v="72"/>
    <n v="0"/>
    <n v="2.8000000000000001E-2"/>
    <n v="14.061199999999999"/>
    <n v="0"/>
    <n v="1.8513999999999999"/>
    <n v="850.57989999999995"/>
    <s v="0.00"/>
    <n v="-2.8000000000000001E-2"/>
  </r>
  <r>
    <s v="PROSOFT VITE&amp;PROVITB5 W 72 BAG ZELENI"/>
    <s v=" TroyBeauty Trade"/>
    <x v="137"/>
    <s v="BAGS"/>
    <s v="ALCOHOL FREE"/>
    <n v="72"/>
    <n v="0"/>
    <n v="3.1899999999999998E-2"/>
    <n v="8.1054999999999993"/>
    <n v="0"/>
    <n v="2.1086"/>
    <n v="502.96"/>
    <s v="0.00"/>
    <n v="-3.1899999999999998E-2"/>
  </r>
  <r>
    <s v="UNAC BABY LOTION&amp;VIT.E AL.FREE W 120 BAG"/>
    <s v=" Unac Beauty Makers SAN."/>
    <x v="138"/>
    <s v="BAGS"/>
    <s v="ALCOHOL FREE"/>
    <n v="120"/>
    <n v="25.839099999999998"/>
    <n v="9.0121000000000002"/>
    <n v="10.0204"/>
    <n v="1539.4739"/>
    <n v="509.45670000000001"/>
    <n v="585.52229999999997"/>
    <s v="-65.12"/>
    <n v="16.826999999999998"/>
  </r>
  <r>
    <s v="DOVE BABY RICHMOISTURE ALC.FREE W 50 BAG"/>
    <s v=" UniHandle"/>
    <x v="139"/>
    <s v="BAGS"/>
    <s v="ALCOHOL FREE &amp; HYPOALLERGENIC"/>
    <n v="50"/>
    <n v="9.0969999999999995"/>
    <n v="13.0891"/>
    <n v="4.6460999999999997"/>
    <n v="134.3818"/>
    <n v="186.4109"/>
    <n v="56.316099999999999"/>
    <s v="43.88"/>
    <n v="-3.9921000000000006"/>
  </r>
  <r>
    <s v="DOVE BABY SENSITIVE MOISTURE W 50 BAG"/>
    <s v=" UniHandle"/>
    <x v="139"/>
    <s v="BAGS"/>
    <s v="SENSITIVE"/>
    <n v="50"/>
    <n v="10.3986"/>
    <n v="26.6724"/>
    <n v="21.6234"/>
    <n v="151.6679"/>
    <n v="465.6979"/>
    <n v="443.52179999999998"/>
    <s v="156.50"/>
    <n v="-16.273800000000001"/>
  </r>
  <r>
    <s v="BEBECAN BABY PH5.5 W 72 BAG YESIL"/>
    <s v=" GreenIlgaz Group"/>
    <x v="135"/>
    <s v="BAGS"/>
    <s v="PH BALANCED"/>
    <n v="72"/>
    <n v="1.8396999999999999"/>
    <n v="4.3616000000000001"/>
    <n v="0"/>
    <n v="115.49760000000001"/>
    <n v="300.46589999999998"/>
    <n v="0"/>
    <s v="137.08"/>
    <n v="-2.5219000000000005"/>
  </r>
  <r>
    <m/>
    <m/>
    <x v="140"/>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s v="BABY2000 CAMOMILLA W 20 BAG ABA SRL"/>
    <s v=" Nova Garbagnate"/>
    <x v="0"/>
    <s v="BAGS"/>
    <s v="WITHOUT EXTRA PROTECTCARE INDICATION"/>
    <n v="20"/>
    <n v="1.9350000000000001"/>
    <n v="0.624"/>
    <n v="0"/>
    <n v="24.822900000000001"/>
    <n v="9.4085999999999999"/>
    <n v="0"/>
    <s v="-67.75"/>
    <n v="1.3109999999999999"/>
    <n v="9.4085999999999999"/>
  </r>
  <r>
    <s v="BAMBO NATURE W 80 BAG KAPAK"/>
    <s v=" BeneCare"/>
    <x v="1"/>
    <s v="BAGS"/>
    <s v="WITHOUT EXTRA PROTECTCARE INDICATION"/>
    <n v="80"/>
    <n v="1.09E-2"/>
    <n v="0"/>
    <n v="0"/>
    <n v="0.16"/>
    <n v="0"/>
    <n v="0"/>
    <s v="0.00"/>
    <n v="1.09E-2"/>
    <n v="0"/>
  </r>
  <r>
    <s v="BABY CREMA PLAY TIME CAMOMILE W 100 PINK"/>
    <s v=" VigaLife"/>
    <x v="2"/>
    <s v="BAGS"/>
    <s v="PH BALANCED"/>
    <n v="100"/>
    <n v="81.467399999999998"/>
    <n v="92.903000000000006"/>
    <n v="52.511899999999997"/>
    <n v="2980.7042999999999"/>
    <n v="3415.3553999999999"/>
    <n v="1823.0734"/>
    <s v="14.04"/>
    <n v="-11.435600000000008"/>
    <n v="1592.2819999999999"/>
  </r>
  <r>
    <s v="BABYCREMA PLAYTIME CAMOMILE W 100 ORANGE"/>
    <s v=" VigaLife"/>
    <x v="2"/>
    <s v="BAGS"/>
    <s v="PH BALANCED"/>
    <n v="100"/>
    <n v="165.22800000000001"/>
    <n v="172.68430000000001"/>
    <n v="91.1357"/>
    <n v="5930.9056"/>
    <n v="6183.6273000000001"/>
    <n v="3125.7986999999998"/>
    <s v="4.51"/>
    <n v="-7.4562999999999988"/>
    <n v="3057.8286000000003"/>
  </r>
  <r>
    <s v="BABY CREMA CAMOMIL W 120 BAG KAPAK"/>
    <s v=" VigaLife"/>
    <x v="2"/>
    <s v="BAGS"/>
    <s v="PH BALANCED"/>
    <n v="120"/>
    <n v="842.87239999999997"/>
    <n v="745.33579999999995"/>
    <n v="366.95890000000003"/>
    <n v="38888.539799999999"/>
    <n v="31985.000499999998"/>
    <n v="14135.173000000001"/>
    <s v="-11.57"/>
    <n v="97.536600000000021"/>
    <n v="17849.827499999999"/>
  </r>
  <r>
    <s v="BABY CREMA ALOE 15 BAG"/>
    <s v=" VigaLife"/>
    <x v="2"/>
    <s v="BAGS"/>
    <s v="WITHOUT EXTRA PROTECTCARE INDICATION"/>
    <n v="15"/>
    <n v="12.774800000000001"/>
    <n v="10.866"/>
    <n v="6.7743000000000002"/>
    <n v="151.26679999999999"/>
    <n v="127.18680000000001"/>
    <n v="77.459400000000002"/>
    <s v="-14.94"/>
    <n v="1.9088000000000012"/>
    <n v="49.727400000000003"/>
  </r>
  <r>
    <s v="BABY CREMA CAMOMIL W 15 BAG"/>
    <s v=" VigaLife"/>
    <x v="2"/>
    <s v="BAGS"/>
    <s v="WITHOUT EXTRA PROTECTCARE INDICATION"/>
    <n v="15"/>
    <n v="20.055299999999999"/>
    <n v="17.836099999999998"/>
    <n v="11.187099999999999"/>
    <n v="231.08779999999999"/>
    <n v="217.71180000000001"/>
    <n v="141.00800000000001"/>
    <s v="-11.07"/>
    <n v="2.2192000000000007"/>
    <n v="76.703800000000001"/>
  </r>
  <r>
    <s v="BABY CREMA PH5.5 W 3X15/1FR BAG &amp;&amp;&amp;"/>
    <s v=" VigaLife"/>
    <x v="2"/>
    <s v="BAGS"/>
    <s v="PH BALANCED"/>
    <n v="15"/>
    <n v="1.2461"/>
    <n v="7.7651000000000003"/>
    <n v="2.2378"/>
    <n v="20.960899999999999"/>
    <n v="127.6666"/>
    <n v="33.570999999999998"/>
    <s v="523.15"/>
    <n v="-6.5190000000000001"/>
    <n v="94.095600000000005"/>
  </r>
  <r>
    <s v="BABY CREMA WATER 99% W 15 BAG"/>
    <s v=" VigaLife"/>
    <x v="2"/>
    <s v="BAGS"/>
    <s v="ALCOHOL FREE"/>
    <n v="15"/>
    <n v="9.6471999999999998"/>
    <n v="10.7577"/>
    <n v="7.0723000000000003"/>
    <n v="112.20610000000001"/>
    <n v="131.05279999999999"/>
    <n v="85.719800000000006"/>
    <s v="11.51"/>
    <n v="-1.1105"/>
    <n v="45.332999999999984"/>
  </r>
  <r>
    <s v="BABY CREMA CAMOMIL W 40 BAG"/>
    <s v=" VigaLife"/>
    <x v="2"/>
    <s v="BAGS"/>
    <s v="WITHOUT EXTRA PROTECTCARE INDICATION"/>
    <n v="40"/>
    <n v="0.1235"/>
    <n v="0"/>
    <n v="0"/>
    <n v="2.2799999999999998"/>
    <n v="0"/>
    <n v="0"/>
    <s v="0.00"/>
    <n v="0.1235"/>
    <n v="0"/>
  </r>
  <r>
    <s v="BABY CREMA COTTON&amp;PANTENOL W 4X56 BAG"/>
    <s v=" VigaLife"/>
    <x v="2"/>
    <s v="BAGS"/>
    <s v="PH BALANCED"/>
    <n v="56"/>
    <n v="0"/>
    <n v="0"/>
    <n v="7.1128"/>
    <n v="0"/>
    <n v="0"/>
    <n v="247.09899999999999"/>
    <s v="0.00"/>
    <n v="0"/>
    <n v="-247.09899999999999"/>
  </r>
  <r>
    <s v="BABY CREMA COTTON&amp;PANTENOL W 56 BAG"/>
    <s v=" VigaLife"/>
    <x v="2"/>
    <s v="BAGS"/>
    <s v="PH BALANCED"/>
    <n v="56"/>
    <n v="0.18310000000000001"/>
    <n v="0.1116"/>
    <n v="0.38700000000000001"/>
    <n v="5.8884999999999996"/>
    <n v="3.7909999999999999"/>
    <n v="14.3827"/>
    <s v="-39.05"/>
    <n v="7.1500000000000008E-2"/>
    <n v="-10.591699999999999"/>
  </r>
  <r>
    <s v="BABY CREMA ALOE 64 BAG"/>
    <s v=" VigaLife"/>
    <x v="2"/>
    <s v="BAGS"/>
    <s v="WITHOUT EXTRA PROTECTCARE INDICATION"/>
    <n v="64"/>
    <n v="1.8938999999999999"/>
    <n v="0"/>
    <n v="0.22520000000000001"/>
    <n v="49.9726"/>
    <n v="0"/>
    <n v="6.9500999999999999"/>
    <s v="0.00"/>
    <n v="1.8938999999999999"/>
    <n v="-6.9500999999999999"/>
  </r>
  <r>
    <s v="BABY CREMA CAMOMIL W 64 BAG"/>
    <s v=" VigaLife"/>
    <x v="2"/>
    <s v="BAGS"/>
    <s v="WITHOUT EXTRA PROTECTCARE INDICATION"/>
    <n v="64"/>
    <n v="1.3514999999999999"/>
    <n v="1.6999999999999999E-3"/>
    <n v="0"/>
    <n v="37.322600000000001"/>
    <n v="6.4000000000000001E-2"/>
    <n v="0"/>
    <s v="-99.87"/>
    <n v="1.3497999999999999"/>
    <n v="6.4000000000000001E-2"/>
  </r>
  <r>
    <s v="BABY CREMA PLAY TIME CAMOMIL W 64 BAG"/>
    <s v=" VigaLife"/>
    <x v="2"/>
    <s v="BAGS"/>
    <s v="PH BALANCED"/>
    <n v="64"/>
    <n v="5.8978000000000002"/>
    <n v="0.1087"/>
    <n v="0"/>
    <n v="169.58080000000001"/>
    <n v="3.3822999999999999"/>
    <n v="0"/>
    <s v="-98.16"/>
    <n v="5.7891000000000004"/>
    <n v="3.3822999999999999"/>
  </r>
  <r>
    <s v="BABYCREMA CAMOMIL W 4X64 BAG SUPERTSENA"/>
    <s v=" VigaLife"/>
    <x v="2"/>
    <s v="BAGS"/>
    <s v="ALCOHOL FREE"/>
    <n v="64"/>
    <n v="0.69669999999999999"/>
    <n v="28.392900000000001"/>
    <n v="2.1978"/>
    <n v="25.606300000000001"/>
    <n v="1226.3661999999999"/>
    <n v="96.438800000000001"/>
    <s v="3975.34"/>
    <n v="-27.696200000000001"/>
    <n v="1129.9274"/>
  </r>
  <r>
    <s v="BABY CREMA ALOE&amp;ALMOND OIL W 72 BAG"/>
    <s v=" VigaLife"/>
    <x v="2"/>
    <s v="BAGS"/>
    <s v="WITHOUT EXTRA PROTECTCARE INDICATION"/>
    <n v="72"/>
    <n v="117.6534"/>
    <n v="68.117699999999999"/>
    <n v="28.349900000000002"/>
    <n v="3055.9405999999999"/>
    <n v="1781.8513"/>
    <n v="711.07719999999995"/>
    <s v="-42.10"/>
    <n v="49.535700000000006"/>
    <n v="1070.7741000000001"/>
  </r>
  <r>
    <s v="BABY CREMA CAMOMIL&amp;ALMOND W 72 BAG"/>
    <s v=" VigaLife"/>
    <x v="2"/>
    <s v="BAGS"/>
    <s v="WITHOUT EXTRA PROTECTCARE INDICATION"/>
    <n v="72"/>
    <n v="38.677799999999998"/>
    <n v="31.4983"/>
    <n v="9.7551000000000005"/>
    <n v="954.11220000000003"/>
    <n v="803.28520000000003"/>
    <n v="236.19829999999999"/>
    <s v="-18.56"/>
    <n v="7.1794999999999973"/>
    <n v="567.08690000000001"/>
  </r>
  <r>
    <s v="BABY CREMA COTTON W 2X72BAG50%OT TS.VTOR"/>
    <s v=" VigaLife"/>
    <x v="2"/>
    <s v="BAGS"/>
    <s v="PH BALANCED"/>
    <n v="72"/>
    <n v="6.1199999999999997E-2"/>
    <n v="0"/>
    <n v="0"/>
    <n v="1.6046"/>
    <n v="0"/>
    <n v="0"/>
    <s v="0.00"/>
    <n v="6.1199999999999997E-2"/>
    <n v="0"/>
  </r>
  <r>
    <s v="BABY CREMA COTTON&amp;PANTENOL W 72 BAG"/>
    <s v=" VigaLife"/>
    <x v="2"/>
    <s v="BAGS"/>
    <s v="PH BALANCED"/>
    <n v="72"/>
    <n v="36.521799999999999"/>
    <n v="5.1192000000000002"/>
    <n v="1.1213"/>
    <n v="1199.5277000000001"/>
    <n v="135.36869999999999"/>
    <n v="30.554400000000001"/>
    <s v="-85.98"/>
    <n v="31.4026"/>
    <n v="104.81429999999999"/>
  </r>
  <r>
    <s v="BABY CREMA NEVEN PH5.5 W 72 BAG"/>
    <s v=" VigaLife"/>
    <x v="2"/>
    <s v="BAGS"/>
    <s v="PH BALANCED"/>
    <n v="72"/>
    <n v="21.958300000000001"/>
    <n v="39.467100000000002"/>
    <n v="10.7844"/>
    <n v="726.31399999999996"/>
    <n v="1508.4713999999999"/>
    <n v="314.52640000000002"/>
    <s v="79.74"/>
    <n v="-17.508800000000001"/>
    <n v="1193.9449999999999"/>
  </r>
  <r>
    <s v="BABY CREMA SMRADLIKA PH5.5 W 72 BAG"/>
    <s v=" VigaLife"/>
    <x v="2"/>
    <s v="BAGS"/>
    <s v="PH BALANCED"/>
    <n v="72"/>
    <n v="27.983599999999999"/>
    <n v="162.41050000000001"/>
    <n v="103.16800000000001"/>
    <n v="928.81529999999998"/>
    <n v="5484.9444999999996"/>
    <n v="3446.0194999999999"/>
    <s v="480.38"/>
    <n v="-134.42690000000002"/>
    <n v="2038.9249999999997"/>
  </r>
  <r>
    <s v="BABY CREMA WATER 99% W 72 BAG"/>
    <s v=" VigaLife"/>
    <x v="2"/>
    <s v="BAGS"/>
    <s v="WITHOUT EXTRA PROTECTCARE INDICATION"/>
    <n v="72"/>
    <n v="221.17019999999999"/>
    <n v="159.9896"/>
    <n v="77.865600000000001"/>
    <n v="6715.8593000000001"/>
    <n v="4333.2687999999998"/>
    <n v="2035.5381"/>
    <s v="-27.66"/>
    <n v="61.180599999999998"/>
    <n v="2297.7307000000001"/>
  </r>
  <r>
    <s v="BABYCREMA CAMOMILE W 2X72BAG50%OTTS.VTOR"/>
    <s v=" VigaLife"/>
    <x v="2"/>
    <s v="BAGS"/>
    <s v="PH BALANCED"/>
    <n v="72"/>
    <n v="6.4486999999999997"/>
    <n v="1.6863999999999999"/>
    <n v="0"/>
    <n v="194.65190000000001"/>
    <n v="50.700299999999999"/>
    <n v="0"/>
    <s v="-73.85"/>
    <n v="4.7622999999999998"/>
    <n v="50.700299999999999"/>
  </r>
  <r>
    <s v="BABYCREMA PLAYTIME CAMOMIL W 72 BAG KAPA"/>
    <s v=" VigaLife"/>
    <x v="2"/>
    <s v="BAGS"/>
    <s v="PH BALANCED"/>
    <n v="72"/>
    <n v="1663.8369"/>
    <n v="1815.6596999999999"/>
    <n v="1049.2485999999999"/>
    <n v="62012.672500000001"/>
    <n v="68679.966"/>
    <n v="37856.881999999998"/>
    <s v="9.12"/>
    <n v="-151.82279999999992"/>
    <n v="30823.084000000003"/>
  </r>
  <r>
    <s v="BABY CREMA ALOE W 80 BAG"/>
    <s v=" VigaLife"/>
    <x v="2"/>
    <s v="BAGS"/>
    <s v="WITHOUT EXTRA PROTECTCARE INDICATION"/>
    <n v="80"/>
    <n v="1.7698"/>
    <n v="0.36170000000000002"/>
    <n v="0.20810000000000001"/>
    <n v="50.220500000000001"/>
    <n v="12.068099999999999"/>
    <n v="5.4642999999999997"/>
    <s v="-79.56"/>
    <n v="1.4081000000000001"/>
    <n v="6.6037999999999997"/>
  </r>
  <r>
    <s v="BABY CREMA CAMOMIL W 80 BAG"/>
    <s v=" VigaLife"/>
    <x v="2"/>
    <s v="BAGS"/>
    <s v="WITHOUT EXTRA PROTECTCARE INDICATION"/>
    <n v="80"/>
    <n v="61.981900000000003"/>
    <n v="56.970199999999998"/>
    <n v="23.8948"/>
    <n v="1524.2099000000001"/>
    <n v="1404.4858999999999"/>
    <n v="554.68420000000003"/>
    <s v="-8.09"/>
    <n v="5.0117000000000047"/>
    <n v="849.80169999999987"/>
  </r>
  <r>
    <s v="LINDY VITAMIN E PH5.5 W 120 BAG"/>
    <s v=" Intelligent Initiative"/>
    <x v="3"/>
    <s v="BAGS"/>
    <s v="PH BALANCED"/>
    <n v="120"/>
    <n v="78.227999999999994"/>
    <n v="99.030500000000004"/>
    <n v="56.674100000000003"/>
    <n v="4816.5708000000004"/>
    <n v="5822.6243999999997"/>
    <n v="2923.4182999999998"/>
    <s v="26.59"/>
    <n v="-20.802500000000009"/>
    <n v="2899.2060999999999"/>
  </r>
  <r>
    <s v="LINDY ALOE VERA&amp;VIT E W 64 BAG"/>
    <s v=" Intelligent Initiative"/>
    <x v="3"/>
    <s v="BAGS"/>
    <s v="WITHOUT EXTRA PROTECTCARE INDICATION"/>
    <n v="64"/>
    <n v="11.11"/>
    <n v="8.9543999999999997"/>
    <n v="2.2328999999999999"/>
    <n v="523.16819999999996"/>
    <n v="387.32229999999998"/>
    <n v="84.428399999999996"/>
    <s v="-19.40"/>
    <n v="2.1555999999999997"/>
    <n v="302.89389999999997"/>
  </r>
  <r>
    <s v="LINDY ALOE VERA&amp;VIT E W 64 BAG KAPAK"/>
    <s v=" Intelligent Initiative"/>
    <x v="3"/>
    <s v="BAGS"/>
    <s v="WITHOUT EXTRA PROTECTCARE INDICATION"/>
    <n v="64"/>
    <n v="79.953000000000003"/>
    <n v="73.757099999999994"/>
    <n v="40.362299999999998"/>
    <n v="3388.3481999999999"/>
    <n v="2840.8843000000002"/>
    <n v="1387.0689"/>
    <s v="-7.75"/>
    <n v="6.1959000000000088"/>
    <n v="1453.8154000000002"/>
  </r>
  <r>
    <s v="LINDY CAMOMILE W 64 BAG"/>
    <s v=" Intelligent Initiative"/>
    <x v="3"/>
    <s v="BAGS"/>
    <s v="WITHOUT EXTRA PROTECTCARE INDICATION"/>
    <n v="64"/>
    <n v="12.195"/>
    <n v="8.5597999999999992"/>
    <n v="1.6516999999999999"/>
    <n v="553.03880000000004"/>
    <n v="369.83049999999997"/>
    <n v="64.100099999999998"/>
    <s v="-29.81"/>
    <n v="3.6352000000000011"/>
    <n v="305.73039999999997"/>
  </r>
  <r>
    <s v="LINDY CAMOMILE W 64 BAG KAPAK"/>
    <s v=" Intelligent Initiative"/>
    <x v="3"/>
    <s v="BAGS"/>
    <s v="WITHOUT EXTRA PROTECTCARE INDICATION"/>
    <n v="64"/>
    <n v="60.510800000000003"/>
    <n v="52.405999999999999"/>
    <n v="30.122800000000002"/>
    <n v="2540.1291999999999"/>
    <n v="2011.4869000000001"/>
    <n v="1066.0352"/>
    <s v="-13.39"/>
    <n v="8.1048000000000044"/>
    <n v="945.45170000000007"/>
  </r>
  <r>
    <s v="LINDY CREAM W 64 BAG KAPAK"/>
    <s v=" Intelligent Initiative"/>
    <x v="3"/>
    <s v="BAGS"/>
    <s v="WITHOUT EXTRA PROTECTCARE INDICATION"/>
    <n v="64"/>
    <n v="47.8005"/>
    <n v="51.199100000000001"/>
    <n v="29.6906"/>
    <n v="1970.2177999999999"/>
    <n v="1924.2328"/>
    <n v="1027.8571999999999"/>
    <s v="7.11"/>
    <n v="-3.3986000000000018"/>
    <n v="896.37560000000008"/>
  </r>
  <r>
    <s v="LINDY CREAM&amp;VIT.E PH5.5 W 64 BAG"/>
    <s v=" Intelligent Initiative"/>
    <x v="3"/>
    <s v="BAGS"/>
    <s v="PH BALANCED"/>
    <n v="64"/>
    <n v="0"/>
    <n v="3.2536"/>
    <n v="4.3144"/>
    <n v="0"/>
    <n v="139.34979999999999"/>
    <n v="169.84690000000001"/>
    <s v="0.00"/>
    <n v="-3.2536"/>
    <n v="-30.497100000000017"/>
  </r>
  <r>
    <s v="LINDY OLIVE OIL EXTR. PH5.5 W 64 BAG"/>
    <s v=" Intelligent Initiative"/>
    <x v="3"/>
    <s v="BAGS"/>
    <s v="PH BALANCED"/>
    <n v="64"/>
    <n v="5.5922000000000001"/>
    <n v="5.3672000000000004"/>
    <n v="2.5727000000000002"/>
    <n v="261.04790000000003"/>
    <n v="232.43600000000001"/>
    <n v="93.995500000000007"/>
    <s v="-4.02"/>
    <n v="0.22499999999999964"/>
    <n v="138.44049999999999"/>
  </r>
  <r>
    <s v="LINDY OLIVE OIL EXTR. W 64 BAG KAPAK"/>
    <s v=" Intelligent Initiative"/>
    <x v="3"/>
    <s v="BAGS"/>
    <s v="PH BALANCED"/>
    <n v="64"/>
    <n v="53.490699999999997"/>
    <n v="44.783700000000003"/>
    <n v="26.440899999999999"/>
    <n v="2262.5698000000002"/>
    <n v="1667.4681"/>
    <n v="920.88139999999999"/>
    <s v="-16.28"/>
    <n v="8.7069999999999936"/>
    <n v="746.58670000000006"/>
  </r>
  <r>
    <s v="LINDY SENSITIVE COTTON PH5.5 W 64 BAG"/>
    <s v=" Intelligent Initiative"/>
    <x v="3"/>
    <s v="BAGS"/>
    <s v="SENSITIVE"/>
    <n v="64"/>
    <n v="8.2710000000000008"/>
    <n v="9.9309999999999992"/>
    <n v="1.1805000000000001"/>
    <n v="392.0086"/>
    <n v="426.19690000000003"/>
    <n v="46.280799999999999"/>
    <s v="20.07"/>
    <n v="-1.6599999999999984"/>
    <n v="379.91610000000003"/>
  </r>
  <r>
    <s v="LINDY SENSITIVE W 64 BAG KAPAK"/>
    <s v=" Intelligent Initiative"/>
    <x v="3"/>
    <s v="BAGS"/>
    <s v="SENSITIVE"/>
    <n v="64"/>
    <n v="70.562299999999993"/>
    <n v="56.785600000000002"/>
    <n v="30.796600000000002"/>
    <n v="2842.3220000000001"/>
    <n v="2121.0371"/>
    <n v="1067.8224"/>
    <s v="-19.52"/>
    <n v="13.776699999999991"/>
    <n v="1053.2147"/>
  </r>
  <r>
    <s v="LINDY WHITE TEA&amp;VIT E W 64 BAG"/>
    <s v=" Intelligent Initiative"/>
    <x v="3"/>
    <s v="BAGS"/>
    <s v="PH BALANCED"/>
    <n v="64"/>
    <n v="34.495899999999999"/>
    <n v="35.333399999999997"/>
    <n v="28.078199999999999"/>
    <n v="1446.3839"/>
    <n v="1359.9783"/>
    <n v="967.9162"/>
    <s v="2.43"/>
    <n v="-0.83749999999999858"/>
    <n v="392.06209999999999"/>
  </r>
  <r>
    <s v="LINDY PREMIUM LAVENDER W 90 BAG KAPAK"/>
    <s v=" Intelligent Initiative"/>
    <x v="3"/>
    <s v="BAGS"/>
    <s v="ALCOHOL FREE"/>
    <n v="90"/>
    <n v="49.5715"/>
    <n v="57.943199999999997"/>
    <n v="41.595799999999997"/>
    <n v="2203.8969999999999"/>
    <n v="2377.6914999999999"/>
    <n v="1614.8326999999999"/>
    <s v="16.89"/>
    <n v="-8.371699999999997"/>
    <n v="762.85879999999997"/>
  </r>
  <r>
    <s v="LUBA BABY B5&amp;VIT E PH5.5W 120 BAG"/>
    <s v=" BroadLeaf Group"/>
    <x v="4"/>
    <s v="BAGS"/>
    <s v="PH BALANCED"/>
    <n v="120"/>
    <n v="0"/>
    <n v="0"/>
    <n v="5.7117000000000004"/>
    <n v="0"/>
    <n v="0"/>
    <n v="338.46300000000002"/>
    <s v="0.00"/>
    <n v="0"/>
    <n v="-338.46300000000002"/>
  </r>
  <r>
    <s v="LUBA BABY B5&amp;VIT E PH5.5 90 W BAG"/>
    <s v=" BroadLeaf Group"/>
    <x v="4"/>
    <s v="BAGS"/>
    <s v="PH BALANCED"/>
    <n v="90"/>
    <n v="0"/>
    <n v="4.4634999999999998"/>
    <n v="0.1893"/>
    <n v="0"/>
    <n v="231.33420000000001"/>
    <n v="9.7352000000000007"/>
    <s v="0.00"/>
    <n v="-4.4634999999999998"/>
    <n v="221.59900000000002"/>
  </r>
  <r>
    <s v="HUGGLO BABY PH5.5 W 120 BAG KAPAK"/>
    <s v=" ArborChemistry"/>
    <x v="5"/>
    <s v="BAGS"/>
    <s v="PH BALANCED"/>
    <n v="120"/>
    <n v="0.70520000000000005"/>
    <n v="0"/>
    <n v="0"/>
    <n v="47.325299999999999"/>
    <n v="0"/>
    <n v="0"/>
    <s v="0.00"/>
    <n v="0.70520000000000005"/>
    <n v="0"/>
  </r>
  <r>
    <s v="PAPILION BABY ALOE VERA W 100 BAG KAPAK"/>
    <s v=" ArkPapers"/>
    <x v="6"/>
    <s v="BAGS"/>
    <s v="PH BALANCED"/>
    <n v="100"/>
    <n v="0.76280000000000003"/>
    <n v="0.23669999999999999"/>
    <n v="0.1135"/>
    <n v="43.074599999999997"/>
    <n v="13.9861"/>
    <n v="6.5488999999999997"/>
    <s v="-68.97"/>
    <n v="0.52610000000000001"/>
    <n v="7.4372000000000007"/>
  </r>
  <r>
    <s v="PAPILION BABY SENSITIVE W 100 BAG KAPAK"/>
    <s v=" ArkPapers"/>
    <x v="6"/>
    <s v="BAGS"/>
    <s v="SENSITIVE"/>
    <n v="100"/>
    <n v="14.3467"/>
    <n v="14.9893"/>
    <n v="7.9457000000000004"/>
    <n v="749.43960000000004"/>
    <n v="788.71510000000001"/>
    <n v="388.85250000000002"/>
    <s v="4.48"/>
    <n v="-0.64259999999999984"/>
    <n v="399.86259999999999"/>
  </r>
  <r>
    <s v="PAPILION BABY WET CHAMOMILE W 100 BAG"/>
    <s v=" ArkPapers"/>
    <x v="6"/>
    <s v="BAGS"/>
    <s v="WITHOUT EXTRA PROTECTCARE INDICATION"/>
    <n v="100"/>
    <n v="9.9741999999999997"/>
    <n v="17.767600000000002"/>
    <n v="9.7081"/>
    <n v="530.94489999999996"/>
    <n v="921.25450000000001"/>
    <n v="442.90179999999998"/>
    <s v="78.14"/>
    <n v="-7.7934000000000019"/>
    <n v="478.35270000000003"/>
  </r>
  <r>
    <s v="PAPILION BABY WET GREEN APPLE W 100 BAG"/>
    <s v=" ArkPapers"/>
    <x v="6"/>
    <s v="BAGS"/>
    <s v="WITHOUT EXTRA PROTECTCARE INDICATION"/>
    <n v="100"/>
    <n v="15.1808"/>
    <n v="9.7044999999999995"/>
    <n v="2.6509999999999998"/>
    <n v="814.55730000000005"/>
    <n v="531.53909999999996"/>
    <n v="144.98150000000001"/>
    <s v="-36.07"/>
    <n v="5.4763000000000002"/>
    <n v="386.55759999999998"/>
  </r>
  <r>
    <s v="PAPILION BABYWET CHARM.LAVENDER W 100BAG"/>
    <s v=" ArkPapers"/>
    <x v="6"/>
    <s v="BAGS"/>
    <s v="PH BALANCED"/>
    <n v="100"/>
    <n v="18.2471"/>
    <n v="19.903099999999998"/>
    <n v="8.7614000000000001"/>
    <n v="989.38980000000004"/>
    <n v="1044.1582000000001"/>
    <n v="387.44209999999998"/>
    <s v="9.08"/>
    <n v="-1.6559999999999988"/>
    <n v="656.7161000000001"/>
  </r>
  <r>
    <s v="PAPILION BABYWET CHARMINGROSE W 100 BAG"/>
    <s v=" ArkPapers"/>
    <x v="6"/>
    <s v="BAGS"/>
    <s v="PH BALANCED"/>
    <n v="100"/>
    <n v="13.7898"/>
    <n v="10.6778"/>
    <n v="5.2233000000000001"/>
    <n v="726.86360000000002"/>
    <n v="563.28449999999998"/>
    <n v="268.45999999999998"/>
    <s v="-22.57"/>
    <n v="3.1120000000000001"/>
    <n v="294.8245"/>
  </r>
  <r>
    <s v="PAPILION JUMBO WET PH5.5 W 120 BAG KAPAK"/>
    <s v=" ArkPapers"/>
    <x v="6"/>
    <s v="BAGS"/>
    <s v="PH BALANCED"/>
    <n v="120"/>
    <n v="29.590800000000002"/>
    <n v="20.845300000000002"/>
    <n v="11.449400000000001"/>
    <n v="1741.4848"/>
    <n v="1127.5655999999999"/>
    <n v="585.96109999999999"/>
    <s v="-29.55"/>
    <n v="8.7454999999999998"/>
    <n v="541.60449999999992"/>
  </r>
  <r>
    <s v="PAPILION BABY WET SENSITIVE W 72 BAG"/>
    <s v=" ArkPapers"/>
    <x v="6"/>
    <s v="BAGS"/>
    <s v="SENSITIVE"/>
    <n v="72"/>
    <n v="0.72840000000000005"/>
    <n v="0"/>
    <n v="0"/>
    <n v="51.0182"/>
    <n v="0"/>
    <n v="0"/>
    <s v="0.00"/>
    <n v="0.72840000000000005"/>
    <n v="0"/>
  </r>
  <r>
    <s v="PAPILION YELLOW LILY W 90 BAG KAPAK"/>
    <s v=" ArkPapers"/>
    <x v="6"/>
    <s v="BAGS"/>
    <s v="ALCOHOL FREE"/>
    <n v="90"/>
    <n v="2.0455000000000001"/>
    <n v="0.30070000000000002"/>
    <n v="9.6000000000000002E-2"/>
    <n v="81.869600000000005"/>
    <n v="11.870100000000001"/>
    <n v="3.7711999999999999"/>
    <s v="-85.30"/>
    <n v="1.7448000000000001"/>
    <n v="8.0989000000000004"/>
  </r>
  <r>
    <s v="PINE ALOE VERA KREMALI W 120 BAG KAPAK"/>
    <s v=" Arkana PaperCraft"/>
    <x v="7"/>
    <s v="BAGS"/>
    <s v="WITHOUT EXTRA PROTECTCARE INDICATION"/>
    <n v="120"/>
    <n v="1.0717000000000001"/>
    <n v="1.6845000000000001"/>
    <n v="0.2092"/>
    <n v="53.428199999999997"/>
    <n v="83.401399999999995"/>
    <n v="9.5612999999999992"/>
    <s v="57.18"/>
    <n v="-0.61280000000000001"/>
    <n v="73.840099999999993"/>
  </r>
  <r>
    <s v="PINE ALOE VERA KREMALI W 72 BAG KAPAK"/>
    <s v=" Arkana PaperCraft"/>
    <x v="7"/>
    <s v="BAGS"/>
    <s v="WITHOUT EXTRA PROTECTCARE INDICATION"/>
    <n v="72"/>
    <n v="0.46760000000000002"/>
    <n v="0.37340000000000001"/>
    <n v="0.47289999999999999"/>
    <n v="17.929200000000002"/>
    <n v="13.441700000000001"/>
    <n v="18.149699999999999"/>
    <s v="-20.15"/>
    <n v="9.4200000000000006E-2"/>
    <n v="-4.7079999999999984"/>
  </r>
  <r>
    <s v="TROMPY 20 BAG"/>
    <s v=" Fragrantium S.A."/>
    <x v="8"/>
    <s v="BAGS"/>
    <s v="WITHOUT EXTRA PROTECTCARE INDICATION"/>
    <n v="20"/>
    <n v="4.4499999999999998E-2"/>
    <n v="6.2E-2"/>
    <n v="0"/>
    <n v="0.36759999999999998"/>
    <n v="0.48380000000000001"/>
    <n v="0"/>
    <s v="39.33"/>
    <n v="-1.7500000000000002E-2"/>
    <n v="0.48380000000000001"/>
  </r>
  <r>
    <s v="HAPPY FRESH BABY W 72 BAG KAPAK"/>
    <s v=" ArsenicChem"/>
    <x v="9"/>
    <s v="BAGS"/>
    <s v="WITHOUT EXTRA PROTECTCARE INDICATION"/>
    <n v="72"/>
    <n v="3.3401000000000001"/>
    <n v="5.1974"/>
    <n v="3.7094999999999998"/>
    <n v="168.65979999999999"/>
    <n v="278.62639999999999"/>
    <n v="222.0746"/>
    <s v="55.61"/>
    <n v="-1.8573"/>
    <n v="56.551799999999986"/>
  </r>
  <r>
    <s v="ULTRA COMPACT ANGELS ALC.FREE W 120 BAG"/>
    <s v=" ArsenicChem"/>
    <x v="10"/>
    <s v="BAGS"/>
    <s v="ALCOHOL FREE"/>
    <n v="120"/>
    <n v="1.2582"/>
    <n v="4.4390999999999998"/>
    <n v="0.70909999999999995"/>
    <n v="67.526600000000002"/>
    <n v="226.15649999999999"/>
    <n v="33.759099999999997"/>
    <s v="252.81"/>
    <n v="-3.1808999999999998"/>
    <n v="192.3974"/>
  </r>
  <r>
    <s v="ULTRA COMPACT MOMO CREAMY W 120 BAG"/>
    <s v=" ArsenicChem"/>
    <x v="10"/>
    <s v="BAGS"/>
    <s v="ALCOHOL FREE"/>
    <n v="120"/>
    <n v="4.5986000000000002"/>
    <n v="6.1303000000000001"/>
    <n v="2.8555999999999999"/>
    <n v="228.69929999999999"/>
    <n v="310.51369999999997"/>
    <n v="123.6022"/>
    <s v="33.31"/>
    <n v="-1.5316999999999998"/>
    <n v="186.91149999999999"/>
  </r>
  <r>
    <s v="ULTRA COMPACT ANGELS ALC.FREE W 72 BAG"/>
    <s v=" ArsenicChem"/>
    <x v="10"/>
    <s v="BAGS"/>
    <s v="ALCOHOL FREE"/>
    <n v="72"/>
    <n v="0.94640000000000002"/>
    <n v="1.6005"/>
    <n v="1.0179"/>
    <n v="54.868499999999997"/>
    <n v="87.027500000000003"/>
    <n v="38.080399999999997"/>
    <s v="69.11"/>
    <n v="-0.65410000000000001"/>
    <n v="48.947100000000006"/>
  </r>
  <r>
    <s v="ULTRACOMPACT BABY PH5.5 ALC.FREE W 72 BA"/>
    <s v=" ArsenicChem"/>
    <x v="10"/>
    <s v="BAGS"/>
    <s v="PH BALANCED"/>
    <n v="72"/>
    <n v="1.8199000000000001"/>
    <n v="0.76910000000000001"/>
    <n v="0.73480000000000001"/>
    <n v="83.522300000000001"/>
    <n v="35.127499999999998"/>
    <n v="37.258200000000002"/>
    <s v="-57.74"/>
    <n v="1.0508000000000002"/>
    <n v="-2.1307000000000045"/>
  </r>
  <r>
    <s v="KANZ NATURAL SENS.SKIN ALC.FREE W120 BAG"/>
    <s v=" Creativa Worldwide"/>
    <x v="11"/>
    <s v="BAGS"/>
    <s v="ALCOHOL FREE"/>
    <n v="120"/>
    <n v="0"/>
    <n v="10.5616"/>
    <n v="42.6479"/>
    <n v="0"/>
    <n v="483.39569999999998"/>
    <n v="1689.356"/>
    <s v="0.00"/>
    <n v="-10.5616"/>
    <n v="-1205.9603"/>
  </r>
  <r>
    <s v="KANZ EXTRA SOFT ALC.FREE W 50 BAG"/>
    <s v=" Creativa Worldwide"/>
    <x v="11"/>
    <s v="BAGS"/>
    <s v="ALCOHOL FREE"/>
    <n v="50"/>
    <n v="0"/>
    <n v="2.0855999999999999"/>
    <n v="2.5316000000000001"/>
    <n v="0"/>
    <n v="61.262700000000002"/>
    <n v="71.165300000000002"/>
    <s v="0.00"/>
    <n v="-2.0855999999999999"/>
    <n v="-9.9025999999999996"/>
  </r>
  <r>
    <s v="KANZ ULTRA SOFT ALC.FREE W 72 BAG"/>
    <s v=" Creativa Worldwide"/>
    <x v="11"/>
    <s v="BAGS"/>
    <s v="ALCOHOL FREE"/>
    <n v="72"/>
    <n v="0"/>
    <n v="0.54479999999999995"/>
    <n v="7.6315999999999997"/>
    <n v="0"/>
    <n v="20.880700000000001"/>
    <n v="330.70479999999998"/>
    <s v="0.00"/>
    <n v="-0.54479999999999995"/>
    <n v="-309.82409999999999"/>
  </r>
  <r>
    <s v="CHICCO SALVIETTINE SENSITIVE W 60 BAG"/>
    <s v=" CultureSana"/>
    <x v="12"/>
    <s v="BAGS"/>
    <s v="SENSITIVE"/>
    <n v="60"/>
    <n v="0"/>
    <n v="1.5012000000000001"/>
    <n v="0.18310000000000001"/>
    <n v="0"/>
    <n v="36.194499999999998"/>
    <n v="4.9927999999999999"/>
    <s v="0.00"/>
    <n v="-1.5012000000000001"/>
    <n v="31.201699999999999"/>
  </r>
  <r>
    <s v="CHICCO SALVIETTINE PARABENI W 72 BAG"/>
    <s v=" CultureSana"/>
    <x v="12"/>
    <s v="BAGS"/>
    <s v="ALCOHOL FREE"/>
    <n v="72"/>
    <n v="3.1665000000000001"/>
    <n v="0.6875"/>
    <n v="0.27989999999999998"/>
    <n v="65.203199999999995"/>
    <n v="14.1759"/>
    <n v="5.1737000000000002"/>
    <s v="-78.29"/>
    <n v="2.4790000000000001"/>
    <n v="9.0022000000000002"/>
  </r>
  <r>
    <s v="UNI COMFORT LOTION P H5.5 72 BAG"/>
    <s v=" Ataman Industries"/>
    <x v="13"/>
    <s v="BAGS"/>
    <s v="PH BALANCED"/>
    <n v="72"/>
    <n v="0"/>
    <n v="0"/>
    <n v="5.57E-2"/>
    <n v="0"/>
    <n v="0"/>
    <n v="1.7425999999999999"/>
    <s v="0.00"/>
    <n v="0"/>
    <n v="-1.7425999999999999"/>
  </r>
  <r>
    <s v="EVENT BABY CALENDULA 140 BAG KAPAK"/>
    <s v=" AxisOn Group"/>
    <x v="14"/>
    <s v="BAGS"/>
    <s v="PH BALANCED"/>
    <n v="140"/>
    <n v="209.29769999999999"/>
    <n v="236.50559999999999"/>
    <n v="198.2927"/>
    <n v="7336.5478999999996"/>
    <n v="8103.1085000000003"/>
    <n v="7048.5825999999997"/>
    <s v="13.00"/>
    <n v="-27.207899999999995"/>
    <n v="1054.5259000000005"/>
  </r>
  <r>
    <s v="EVENT BABY CALENDULA 140 BAG KAPAK+WIP"/>
    <s v=" AxisOn Group"/>
    <x v="14"/>
    <s v="BAGS"/>
    <s v="PH BALANCED"/>
    <n v="140"/>
    <n v="2.7799999999999998E-2"/>
    <n v="4.5999999999999999E-3"/>
    <n v="0"/>
    <n v="1.2"/>
    <n v="0.2"/>
    <n v="0"/>
    <s v="-83.45"/>
    <n v="2.3199999999999998E-2"/>
    <n v="0.2"/>
  </r>
  <r>
    <s v="EVENT BABY MOIST.CHAMOMILE 20 W BAG"/>
    <s v=" AxisOn Group"/>
    <x v="14"/>
    <s v="BAGS"/>
    <s v="PH BALANCED"/>
    <n v="20"/>
    <n v="27.777100000000001"/>
    <n v="19.717700000000001"/>
    <n v="14.4848"/>
    <n v="429.91730000000001"/>
    <n v="309.96710000000002"/>
    <n v="229.3313"/>
    <s v="-29.01"/>
    <n v="8.0594000000000001"/>
    <n v="80.635800000000017"/>
  </r>
  <r>
    <s v="EVENT BABY SENSIT. ALOE VERA 20 BAG"/>
    <s v=" AxisOn Group"/>
    <x v="14"/>
    <s v="BAGS"/>
    <s v="SENSITIVE"/>
    <n v="20"/>
    <n v="40.515599999999999"/>
    <n v="34.999099999999999"/>
    <n v="5.7746000000000004"/>
    <n v="630.63189999999997"/>
    <n v="558.36739999999998"/>
    <n v="90.998999999999995"/>
    <s v="-13.62"/>
    <n v="5.5165000000000006"/>
    <n v="467.36839999999995"/>
  </r>
  <r>
    <s v="EVENT BABY CALENDULA W 25 BAG"/>
    <s v=" AxisOn Group"/>
    <x v="14"/>
    <s v="BAGS"/>
    <s v="PH BALANCED"/>
    <n v="25"/>
    <n v="61.397500000000001"/>
    <n v="45.295999999999999"/>
    <n v="19.337599999999998"/>
    <n v="1027.2618"/>
    <n v="758.06629999999996"/>
    <n v="328.18349999999998"/>
    <s v="-26.23"/>
    <n v="16.101500000000001"/>
    <n v="429.88279999999997"/>
  </r>
  <r>
    <s v="EVENT BABY CALENDULA W 25 BAG+WIP 140"/>
    <s v=" AxisOn Group"/>
    <x v="14"/>
    <s v="BAGS"/>
    <s v="PH BALANCED"/>
    <n v="25"/>
    <n v="1.03E-2"/>
    <n v="1.6999999999999999E-3"/>
    <n v="0"/>
    <n v="0.21429999999999999"/>
    <n v="3.5700000000000003E-2"/>
    <n v="0"/>
    <s v="-83.50"/>
    <n v="8.6E-3"/>
    <n v="3.5700000000000003E-2"/>
  </r>
  <r>
    <s v="EVENT BABY CALENDULA HYPOALL.W 30 BAG"/>
    <s v=" AxisOn Group"/>
    <x v="14"/>
    <s v="BAGS"/>
    <s v="HYPOALLERGENIC"/>
    <n v="30"/>
    <n v="0"/>
    <n v="0"/>
    <n v="8.3928999999999991"/>
    <n v="0"/>
    <n v="0"/>
    <n v="185.37119999999999"/>
    <s v="0.00"/>
    <n v="0"/>
    <n v="-185.37119999999999"/>
  </r>
  <r>
    <s v="EVENT BABY HYPOAL.CALENDULA 64 W BAG"/>
    <s v=" AxisOn Group"/>
    <x v="14"/>
    <s v="BAGS"/>
    <s v="HYPOALLERGENIC"/>
    <n v="64"/>
    <n v="11.2281"/>
    <n v="7.5716999999999999"/>
    <n v="1.9255"/>
    <n v="325.11810000000003"/>
    <n v="236.1233"/>
    <n v="61.869799999999998"/>
    <s v="-32.56"/>
    <n v="3.6563999999999997"/>
    <n v="174.2535"/>
  </r>
  <r>
    <s v="EVENT BABY HYPOALL.CHAMOMILE 72 W BAG"/>
    <s v=" AxisOn Group"/>
    <x v="14"/>
    <s v="BAGS"/>
    <s v="HYPOALLERGENIC"/>
    <n v="72"/>
    <n v="56.268599999999999"/>
    <n v="22.377800000000001"/>
    <n v="12.435499999999999"/>
    <n v="1799.2518"/>
    <n v="721.99059999999997"/>
    <n v="385.45190000000002"/>
    <s v="-60.23"/>
    <n v="33.890799999999999"/>
    <n v="336.53869999999995"/>
  </r>
  <r>
    <s v="EVENT BABY MOIST.CHAMOMILE 72 W BAG"/>
    <s v=" AxisOn Group"/>
    <x v="14"/>
    <s v="BAGS"/>
    <s v="WITHOUT EXTRA PROTECTCARE INDICATION"/>
    <n v="72"/>
    <n v="0.64159999999999995"/>
    <n v="0.34470000000000001"/>
    <n v="0"/>
    <n v="14.463900000000001"/>
    <n v="7.3648999999999996"/>
    <n v="0"/>
    <s v="-46.27"/>
    <n v="0.29689999999999994"/>
    <n v="7.3648999999999996"/>
  </r>
  <r>
    <s v="EVENT BABY SENSIT. ALOE VERA 72 W BAG"/>
    <s v=" AxisOn Group"/>
    <x v="14"/>
    <s v="BAGS"/>
    <s v="SENSITIVE"/>
    <n v="72"/>
    <n v="64.480099999999993"/>
    <n v="81.182500000000005"/>
    <n v="15.496600000000001"/>
    <n v="2159.5493999999999"/>
    <n v="2486.1275000000001"/>
    <n v="493.73469999999998"/>
    <s v="25.90"/>
    <n v="-16.702400000000011"/>
    <n v="1992.3928000000001"/>
  </r>
  <r>
    <s v="TEX BABY PH5.5 ALC.FREE W 100 BAG PURPLE"/>
    <s v=" PureAim Cleaners"/>
    <x v="15"/>
    <s v="BAGS"/>
    <s v="PH BALANCED"/>
    <n v="100"/>
    <n v="0"/>
    <n v="0"/>
    <n v="0.24490000000000001"/>
    <n v="0"/>
    <n v="0"/>
    <n v="9.7979000000000003"/>
    <s v="0.00"/>
    <n v="0"/>
    <n v="-9.7979000000000003"/>
  </r>
  <r>
    <s v="TEX BABY PH5.5 ALC.FREE W 100 BAG YELLOW"/>
    <s v=" PureAim Cleaners"/>
    <x v="15"/>
    <s v="BAGS"/>
    <s v="PH BALANCED"/>
    <n v="100"/>
    <n v="0.22359999999999999"/>
    <n v="1.0136000000000001"/>
    <n v="0.81230000000000002"/>
    <n v="12.2155"/>
    <n v="49.151600000000002"/>
    <n v="34.919499999999999"/>
    <s v="353.31"/>
    <n v="-0.79"/>
    <n v="14.232100000000003"/>
  </r>
  <r>
    <s v="NIVEA BABY SOFT&amp;CREME 20 BAG"/>
    <s v=" AlpineMeadow"/>
    <x v="16"/>
    <s v="BAGS"/>
    <s v="WITHOUT EXTRA PROTECTCARE INDICATION"/>
    <n v="20"/>
    <n v="15.0191"/>
    <n v="17.616800000000001"/>
    <n v="13.700200000000001"/>
    <n v="121.4559"/>
    <n v="162.24"/>
    <n v="126.0534"/>
    <s v="17.30"/>
    <n v="-2.5977000000000015"/>
    <n v="36.186600000000013"/>
  </r>
  <r>
    <s v="NIVEA BABY TODDIES 2IN1 60 BAG"/>
    <s v=" AlpineMeadow"/>
    <x v="16"/>
    <s v="BAGS"/>
    <s v="WITHOUT EXTRA PROTECTCARE INDICATION"/>
    <n v="60"/>
    <n v="19.776399999999999"/>
    <n v="13.798299999999999"/>
    <n v="7.5656999999999996"/>
    <n v="281.97280000000001"/>
    <n v="222.7071"/>
    <n v="118.9547"/>
    <s v="-30.23"/>
    <n v="5.9780999999999995"/>
    <n v="103.75239999999999"/>
  </r>
  <r>
    <s v="NIVEA BABY FRESH&amp;PURE 63 BAG"/>
    <s v=" AlpineMeadow"/>
    <x v="16"/>
    <s v="BAGS"/>
    <s v="WITHOUT EXTRA PROTECTCARE INDICATION"/>
    <n v="63"/>
    <n v="41.314100000000003"/>
    <n v="32.422600000000003"/>
    <n v="18.6829"/>
    <n v="549.64080000000001"/>
    <n v="416.84789999999998"/>
    <n v="241.38910000000001"/>
    <s v="-21.52"/>
    <n v="8.8915000000000006"/>
    <n v="175.45879999999997"/>
  </r>
  <r>
    <s v="NIVEA BABY PURE&amp;SENSITIVE 63 W BAG"/>
    <s v=" AlpineMeadow"/>
    <x v="16"/>
    <s v="BAGS"/>
    <s v="ALCOHOL FREE"/>
    <n v="63"/>
    <n v="10.5054"/>
    <n v="0.496"/>
    <n v="0"/>
    <n v="168.06010000000001"/>
    <n v="9.3780000000000001"/>
    <n v="0"/>
    <s v="-95.28"/>
    <n v="10.009399999999999"/>
    <n v="9.3780000000000001"/>
  </r>
  <r>
    <s v="NIVEA BABY SOFT&amp;CREME 63 BAG"/>
    <s v=" AlpineMeadow"/>
    <x v="16"/>
    <s v="BAGS"/>
    <s v="WITHOUT EXTRA PROTECTCARE INDICATION"/>
    <n v="63"/>
    <n v="26.694099999999999"/>
    <n v="16.9801"/>
    <n v="8.3484999999999996"/>
    <n v="362.30340000000001"/>
    <n v="234.6001"/>
    <n v="111.9991"/>
    <s v="-36.39"/>
    <n v="9.7139999999999986"/>
    <n v="122.601"/>
  </r>
  <r>
    <s v="SMILE ALOE&amp;CAMOMILE PH5.5 60 BAG"/>
    <s v=" BioRealm Corp"/>
    <x v="17"/>
    <s v="BAGS"/>
    <s v="PH BALANCED"/>
    <n v="60"/>
    <n v="0.52039999999999997"/>
    <n v="1.6072"/>
    <n v="0.16420000000000001"/>
    <n v="10.5198"/>
    <n v="34.4998"/>
    <n v="3.1461000000000001"/>
    <s v="208.84"/>
    <n v="-1.0868"/>
    <n v="31.3537"/>
  </r>
  <r>
    <s v="BABYCARE WITHCREAM W 80/8FREE BAG KAPAK"/>
    <s v=" TradeKing Cengiz"/>
    <x v="18"/>
    <s v="BAGS"/>
    <s v="PH BALANCED"/>
    <n v="72"/>
    <n v="0"/>
    <n v="3.7900000000000003E-2"/>
    <n v="6.93E-2"/>
    <n v="0"/>
    <n v="2.3294000000000001"/>
    <n v="4.2670000000000003"/>
    <s v="0.00"/>
    <n v="-3.7900000000000003E-2"/>
    <n v="-1.9376000000000002"/>
  </r>
  <r>
    <s v="ClearSight BABY ALOE VERA PH5.5 W 25 BAG"/>
    <s v=" ClearSight"/>
    <x v="19"/>
    <s v="BAGS"/>
    <s v="PH BALANCED"/>
    <n v="25"/>
    <n v="0"/>
    <n v="8.6E-3"/>
    <n v="13.3878"/>
    <n v="0"/>
    <n v="0.19639999999999999"/>
    <n v="341.02409999999998"/>
    <s v="0.00"/>
    <n v="-8.6E-3"/>
    <n v="-340.82769999999999"/>
  </r>
  <r>
    <s v="ClearSight BABY CALENDULA PH5.5 W 25 BAG"/>
    <s v=" ClearSight"/>
    <x v="19"/>
    <s v="BAGS"/>
    <s v="PH BALANCED"/>
    <n v="25"/>
    <n v="0"/>
    <n v="4.8898999999999999"/>
    <n v="10.664400000000001"/>
    <n v="0"/>
    <n v="145.9169"/>
    <n v="284.60649999999998"/>
    <s v="0.00"/>
    <n v="-4.8898999999999999"/>
    <n v="-138.68959999999998"/>
  </r>
  <r>
    <s v="ClearSight BABY CHAMOMILE PH5.5 W 25 BAG"/>
    <s v=" ClearSight"/>
    <x v="19"/>
    <s v="BAGS"/>
    <s v="PH BALANCED"/>
    <n v="25"/>
    <n v="0"/>
    <n v="5.8544999999999998"/>
    <n v="9.0564"/>
    <n v="0"/>
    <n v="166.38579999999999"/>
    <n v="238.54349999999999"/>
    <s v="0.00"/>
    <n v="-5.8544999999999998"/>
    <n v="-72.157700000000006"/>
  </r>
  <r>
    <s v="ClearSight BABY CHAMOMILE PH5.5 W 66 BAG"/>
    <s v=" ClearSight"/>
    <x v="19"/>
    <s v="BAGS"/>
    <s v="PH BALANCED"/>
    <n v="66"/>
    <n v="0"/>
    <n v="0"/>
    <n v="0.9879"/>
    <n v="0"/>
    <n v="0"/>
    <n v="34.929000000000002"/>
    <s v="0.00"/>
    <n v="0"/>
    <n v="-34.929000000000002"/>
  </r>
  <r>
    <s v="ClearSight BABY ALOE VERA PH5.5 W 80 BAG"/>
    <s v=" ClearSight"/>
    <x v="19"/>
    <s v="BAGS"/>
    <s v="PH BALANCED"/>
    <n v="80"/>
    <n v="15.267200000000001"/>
    <n v="16.318300000000001"/>
    <n v="16.784099999999999"/>
    <n v="431.15870000000001"/>
    <n v="473.67329999999998"/>
    <n v="505.80540000000002"/>
    <s v="6.88"/>
    <n v="-1.0510999999999999"/>
    <n v="-32.132100000000037"/>
  </r>
  <r>
    <s v="ClearSight BABY CALENDULA PH5.5 W 80 BAG"/>
    <s v=" ClearSight"/>
    <x v="19"/>
    <s v="BAGS"/>
    <s v="PH BALANCED"/>
    <n v="80"/>
    <n v="9.5295000000000005"/>
    <n v="13.395300000000001"/>
    <n v="18.126999999999999"/>
    <n v="274.45499999999998"/>
    <n v="396.72109999999998"/>
    <n v="559.59109999999998"/>
    <s v="40.57"/>
    <n v="-3.8658000000000001"/>
    <n v="-162.87"/>
  </r>
  <r>
    <s v="ClearSight BABY CHAMOMILE PH5.5 W 80 BAG"/>
    <s v=" ClearSight"/>
    <x v="19"/>
    <s v="BAGS"/>
    <s v="PH BALANCED"/>
    <n v="80"/>
    <n v="11.2293"/>
    <n v="14.7631"/>
    <n v="16.131900000000002"/>
    <n v="318.93810000000002"/>
    <n v="440.8152"/>
    <n v="474.58569999999997"/>
    <s v="31.47"/>
    <n v="-3.5337999999999994"/>
    <n v="-33.77049999999997"/>
  </r>
  <r>
    <s v="OKIDOKI  FreshClean CAMOMILLA 60 BAG"/>
    <s v=" CodeInt B.V."/>
    <x v="20"/>
    <s v="BAGS"/>
    <s v="WITHOUT EXTRA PROTECTCARE INDICATION"/>
    <n v="60"/>
    <n v="1.03E-2"/>
    <n v="0"/>
    <n v="0"/>
    <n v="0.3876"/>
    <n v="0"/>
    <n v="0"/>
    <s v="0.00"/>
    <n v="1.03E-2"/>
    <n v="0"/>
  </r>
  <r>
    <s v="BABY WISH VITE&amp;PROVITAMINB5 W 120 BAG"/>
    <s v=" ChillClean"/>
    <x v="21"/>
    <s v="BAGS"/>
    <s v="WITHOUT EXTRA PROTECTCARE INDICATION"/>
    <n v="120"/>
    <n v="0"/>
    <n v="1.8077000000000001"/>
    <n v="54.250700000000002"/>
    <n v="0"/>
    <n v="127.6024"/>
    <n v="2956.24"/>
    <s v="0.00"/>
    <n v="-1.8077000000000001"/>
    <n v="-2828.6375999999996"/>
  </r>
  <r>
    <s v="COSMI BABY ARGAN W 20 BAG"/>
    <s v=" Cosmopolitan Italy"/>
    <x v="22"/>
    <s v="BAGS"/>
    <s v="WITHOUT EXTRA PROTECTCARE INDICATION"/>
    <n v="20"/>
    <n v="0"/>
    <n v="0.1202"/>
    <n v="0"/>
    <n v="0"/>
    <n v="2.4085999999999999"/>
    <n v="0"/>
    <s v="0.00"/>
    <n v="-0.1202"/>
    <n v="2.4085999999999999"/>
  </r>
  <r>
    <s v="AQUELLA BABY AMUR WITH CREAM W 120 BAG"/>
    <s v=" CottonUnion"/>
    <x v="23"/>
    <s v="BAGS"/>
    <s v="PH BALANCED"/>
    <n v="120"/>
    <n v="28.356999999999999"/>
    <n v="20.580200000000001"/>
    <n v="0.78890000000000005"/>
    <n v="1646.7402"/>
    <n v="1088.8000999999999"/>
    <n v="38.968699999999998"/>
    <s v="-27.42"/>
    <n v="7.7767999999999979"/>
    <n v="1049.8314"/>
  </r>
  <r>
    <s v="AQUELLA BABY ULTRA SOFT CREAM W 120 BAG"/>
    <s v=" CottonUnion"/>
    <x v="23"/>
    <s v="BAGS"/>
    <s v="ALCOHOL FREE"/>
    <n v="120"/>
    <n v="12.003299999999999"/>
    <n v="12.0252"/>
    <n v="1.8045"/>
    <n v="643.41989999999998"/>
    <n v="689.18370000000004"/>
    <n v="98.837400000000002"/>
    <s v="0.18"/>
    <n v="-2.1900000000000475E-2"/>
    <n v="590.34630000000004"/>
  </r>
  <r>
    <s v="AQUELLA TROPIC ALC.FREE W 120 BAG"/>
    <s v=" CottonUnion"/>
    <x v="23"/>
    <s v="BAGS"/>
    <s v="ALCOHOL FREE"/>
    <n v="120"/>
    <n v="0.11600000000000001"/>
    <n v="0"/>
    <n v="0"/>
    <n v="6.96"/>
    <n v="0"/>
    <n v="0"/>
    <s v="0.00"/>
    <n v="0.11600000000000001"/>
    <n v="0"/>
  </r>
  <r>
    <s v="AQUELLA KIDS BABY ALOEVERA&amp;CREAM W 60BAG"/>
    <s v=" CottonUnion"/>
    <x v="23"/>
    <s v="BAGS"/>
    <s v="PH BALANCED"/>
    <n v="60"/>
    <n v="4.6429999999999998"/>
    <n v="2.3708"/>
    <n v="3.8805999999999998"/>
    <n v="208.76240000000001"/>
    <n v="99.124899999999997"/>
    <n v="163.75460000000001"/>
    <s v="-48.94"/>
    <n v="2.2721999999999998"/>
    <n v="-64.629700000000014"/>
  </r>
  <r>
    <s v="AQUELLA BABY VIT E&amp;PRO B5 W 72 BAG"/>
    <s v=" CottonUnion"/>
    <x v="23"/>
    <s v="BAGS"/>
    <s v="ALCOHOL FREE"/>
    <n v="72"/>
    <n v="8.5853000000000002"/>
    <n v="4.2140000000000004"/>
    <n v="0.26250000000000001"/>
    <n v="402.53930000000003"/>
    <n v="207.43709999999999"/>
    <n v="13.0296"/>
    <s v="-50.92"/>
    <n v="4.3712999999999997"/>
    <n v="194.4075"/>
  </r>
  <r>
    <s v="AQUELLA KIDS BABY PH5.5 W 72 BAG"/>
    <s v=" CottonUnion"/>
    <x v="23"/>
    <s v="BAGS"/>
    <s v="PH BALANCED"/>
    <n v="72"/>
    <n v="0.83140000000000003"/>
    <n v="1.5299999999999999E-2"/>
    <n v="0"/>
    <n v="39.196399999999997"/>
    <n v="0.64800000000000002"/>
    <n v="0"/>
    <s v="-98.16"/>
    <n v="0.81610000000000005"/>
    <n v="0.64800000000000002"/>
  </r>
  <r>
    <s v="AQUELLA BABY VIT E&amp;PRO B5 W 90 BAG KAPAK"/>
    <s v=" CottonUnion"/>
    <x v="23"/>
    <s v="BAGS"/>
    <s v="PH BALANCED"/>
    <n v="90"/>
    <n v="2.9493999999999998"/>
    <n v="0.27079999999999999"/>
    <n v="0"/>
    <n v="169.64840000000001"/>
    <n v="12.904400000000001"/>
    <n v="0"/>
    <s v="-90.82"/>
    <n v="2.6785999999999999"/>
    <n v="12.904400000000001"/>
  </r>
  <r>
    <s v="AURA ULTRA COMF. COTTON HYPOALL. W 100 B"/>
    <s v=" CottonUnion"/>
    <x v="24"/>
    <s v="BAGS"/>
    <s v="HYPOALLERGENIC"/>
    <n v="100"/>
    <n v="4.0140000000000002"/>
    <n v="0"/>
    <n v="0"/>
    <n v="230.286"/>
    <n v="0"/>
    <n v="0"/>
    <s v="0.00"/>
    <n v="4.0140000000000002"/>
    <n v="0"/>
  </r>
  <r>
    <s v="AURA ULTRA COMFORT COTTON W 63 BAG"/>
    <s v=" CottonUnion"/>
    <x v="24"/>
    <s v="BAGS"/>
    <s v="WITHOUT EXTRA PROTECTCARE INDICATION"/>
    <n v="63"/>
    <n v="4.0500000000000001E-2"/>
    <n v="0"/>
    <n v="0"/>
    <n v="2.8330000000000002"/>
    <n v="0"/>
    <n v="0"/>
    <s v="0.00"/>
    <n v="4.0500000000000001E-2"/>
    <n v="0"/>
  </r>
  <r>
    <s v="COTTON BABY UL.SOFT CREAM ALC.FREE W 120"/>
    <s v=" CottonUnion"/>
    <x v="25"/>
    <s v="BAGS"/>
    <s v="ALCOHOL FREE"/>
    <n v="120"/>
    <n v="0.76770000000000005"/>
    <n v="0"/>
    <n v="0"/>
    <n v="46.441400000000002"/>
    <n v="0"/>
    <n v="0"/>
    <s v="0.00"/>
    <n v="0.76770000000000005"/>
    <n v="0"/>
  </r>
  <r>
    <s v="COTTON BABY PH5.5 AL.FREE W 90 BAG KAPAK"/>
    <s v=" CottonUnion"/>
    <x v="25"/>
    <s v="BAGS"/>
    <s v="PH BALANCED"/>
    <n v="90"/>
    <n v="0.86809999999999998"/>
    <n v="0"/>
    <n v="0"/>
    <n v="43.337600000000002"/>
    <n v="0"/>
    <n v="0"/>
    <s v="0.00"/>
    <n v="0.86809999999999998"/>
    <n v="0"/>
  </r>
  <r>
    <s v="MIMI NICE BABY PH5.5 W 15 BAG"/>
    <s v=" CottonUnion"/>
    <x v="26"/>
    <s v="BAGS"/>
    <s v="PH BALANCED"/>
    <n v="15"/>
    <n v="9.5548999999999999"/>
    <n v="16.797000000000001"/>
    <n v="14.8012"/>
    <n v="338.9522"/>
    <n v="643.8528"/>
    <n v="454.05590000000001"/>
    <s v="75.79"/>
    <n v="-7.2421000000000006"/>
    <n v="189.79689999999999"/>
  </r>
  <r>
    <s v="MY COMFORT BABY ANGEL PH5.5 W 120 BAG"/>
    <s v=" CottonUnion"/>
    <x v="27"/>
    <s v="BAGS"/>
    <s v="PH BALANCED"/>
    <n v="120"/>
    <n v="21.0763"/>
    <n v="7.9172000000000002"/>
    <n v="0.35720000000000002"/>
    <n v="1178.5386000000001"/>
    <n v="421.82799999999997"/>
    <n v="19.481100000000001"/>
    <s v="-62.44"/>
    <n v="13.159099999999999"/>
    <n v="402.34689999999995"/>
  </r>
  <r>
    <s v="MY COMFORT BABY ARGAN ALK.FREE W 120 BAG"/>
    <s v=" CottonUnion"/>
    <x v="27"/>
    <s v="BAGS"/>
    <s v="ALCOHOL FREE"/>
    <n v="120"/>
    <n v="59.8855"/>
    <n v="18.673500000000001"/>
    <n v="4.4382000000000001"/>
    <n v="3588.4739"/>
    <n v="1054.2443000000001"/>
    <n v="241.28020000000001"/>
    <s v="-68.82"/>
    <n v="41.212000000000003"/>
    <n v="812.96410000000003"/>
  </r>
  <r>
    <s v="NICEBABY PROVITB5&amp;VITE PH5.5 W 120 BAG"/>
    <s v=" CottonUnion"/>
    <x v="28"/>
    <s v="BAGS"/>
    <s v="PH BALANCED"/>
    <n v="120"/>
    <n v="37.596899999999998"/>
    <n v="28.031099999999999"/>
    <n v="1.2394000000000001"/>
    <n v="2231.0284000000001"/>
    <n v="1606.1090999999999"/>
    <n v="64.665899999999993"/>
    <s v="-25.44"/>
    <n v="9.5657999999999994"/>
    <n v="1541.4431999999999"/>
  </r>
  <r>
    <s v="WINEX BABY PH5.5 W 72 BAG"/>
    <s v=" CottonUnion"/>
    <x v="29"/>
    <s v="BAGS"/>
    <s v="PH BALANCED"/>
    <n v="72"/>
    <n v="4.1798000000000002"/>
    <n v="0"/>
    <n v="0"/>
    <n v="212.80930000000001"/>
    <n v="0"/>
    <n v="0"/>
    <s v="0.00"/>
    <n v="4.1798000000000002"/>
    <n v="0"/>
  </r>
  <r>
    <s v="WINEX BABY PROVITB5&amp;VIT.F PH5.5 W 72 BAG"/>
    <s v=" CottonUnion"/>
    <x v="29"/>
    <s v="BAGS"/>
    <s v="PH BALANCED"/>
    <n v="72"/>
    <n v="16.9573"/>
    <n v="8.0383999999999993"/>
    <n v="4.7045000000000003"/>
    <n v="973.13670000000002"/>
    <n v="460.75880000000001"/>
    <n v="246.6643"/>
    <s v="-52.60"/>
    <n v="8.9189000000000007"/>
    <n v="214.09450000000001"/>
  </r>
  <r>
    <s v="PADDLERS SOFT&amp;CREAM PROVITB5&amp;VITE W 120"/>
    <s v=" EnkaHygiene"/>
    <x v="30"/>
    <s v="BAGS"/>
    <s v="ALCOHOL FREE"/>
    <n v="120"/>
    <n v="8.9794"/>
    <n v="0"/>
    <n v="0"/>
    <n v="618.46879999999999"/>
    <n v="0"/>
    <n v="0"/>
    <s v="0.00"/>
    <n v="8.9794"/>
    <n v="0"/>
  </r>
  <r>
    <s v="PURE BABY JUMBO PH5.5 W 120 BAG"/>
    <s v=" ErusHealth Products"/>
    <x v="31"/>
    <s v="BAGS"/>
    <s v="PH BALANCED"/>
    <n v="120"/>
    <n v="0"/>
    <n v="9.4999999999999998E-3"/>
    <n v="0"/>
    <n v="0"/>
    <n v="0.51649999999999996"/>
    <n v="0"/>
    <s v="0.00"/>
    <n v="-9.4999999999999998E-3"/>
    <n v="0.51649999999999996"/>
  </r>
  <r>
    <s v="SLEEPY BABY SENSITIVE 110 W BAG KAPAK"/>
    <s v=" ErusHealth Products"/>
    <x v="32"/>
    <s v="BAGS"/>
    <s v="SENSITIVE"/>
    <n v="110"/>
    <n v="0.34189999999999998"/>
    <n v="0"/>
    <n v="0"/>
    <n v="17.095199999999998"/>
    <n v="0"/>
    <n v="0"/>
    <s v="0.00"/>
    <n v="0.34189999999999998"/>
    <n v="0"/>
  </r>
  <r>
    <s v="SLEEPY BABY APPLE AL.FREE W 120 BAG"/>
    <s v=" ErusHealth Products"/>
    <x v="32"/>
    <s v="BAGS"/>
    <s v="ALCOHOL FREE"/>
    <n v="120"/>
    <n v="0"/>
    <n v="36.513300000000001"/>
    <n v="9.9184000000000001"/>
    <n v="0"/>
    <n v="2225.7903999999999"/>
    <n v="665.84569999999997"/>
    <s v="0.00"/>
    <n v="-36.513300000000001"/>
    <n v="1559.9447"/>
  </r>
  <r>
    <s v="SLEEPY BABY LEMON AL.FREE W 120 BAG"/>
    <s v=" ErusHealth Products"/>
    <x v="32"/>
    <s v="BAGS"/>
    <s v="ALCOHOL FREE"/>
    <n v="120"/>
    <n v="0"/>
    <n v="28.314"/>
    <n v="9.1574000000000009"/>
    <n v="0"/>
    <n v="1712.6693"/>
    <n v="592.38390000000004"/>
    <s v="0.00"/>
    <n v="-28.314"/>
    <n v="1120.2854"/>
  </r>
  <r>
    <s v="SLEEPY BABY ORANGE AL.FREE W 120 BAG"/>
    <s v=" ErusHealth Products"/>
    <x v="32"/>
    <s v="BAGS"/>
    <s v="ALCOHOL FREE"/>
    <n v="120"/>
    <n v="0"/>
    <n v="24.999500000000001"/>
    <n v="5.0659999999999998"/>
    <n v="0"/>
    <n v="1534.4268"/>
    <n v="349.95659999999998"/>
    <s v="0.00"/>
    <n v="-24.999500000000001"/>
    <n v="1184.4702"/>
  </r>
  <r>
    <s v="SLEEPY BABY PH5.5 120 W BAG KAPAK"/>
    <s v=" ErusHealth Products"/>
    <x v="32"/>
    <s v="BAGS"/>
    <s v="PH BALANCED"/>
    <n v="120"/>
    <n v="25.1"/>
    <n v="61.22"/>
    <n v="8.9021000000000008"/>
    <n v="1136.2986000000001"/>
    <n v="3402.5661"/>
    <n v="613.3809"/>
    <s v="143.90"/>
    <n v="-36.119999999999997"/>
    <n v="2789.1851999999999"/>
  </r>
  <r>
    <s v="SLEEPY STRAWBERRY BABY AL.FREE 120 W BAG"/>
    <s v=" ErusHealth Products"/>
    <x v="32"/>
    <s v="BAGS"/>
    <s v="ALCOHOL FREE"/>
    <n v="120"/>
    <n v="0"/>
    <n v="18.822399999999998"/>
    <n v="7.1738"/>
    <n v="0"/>
    <n v="1176.8929000000001"/>
    <n v="487.85019999999997"/>
    <s v="0.00"/>
    <n v="-18.822399999999998"/>
    <n v="689.04270000000008"/>
  </r>
  <r>
    <s v="SLEEPY BABY MIXED FRUIT PH5.5 15 W BAG"/>
    <s v=" ErusHealth Products"/>
    <x v="32"/>
    <s v="BAGS"/>
    <s v="PH BALANCED"/>
    <n v="15"/>
    <n v="1.24"/>
    <n v="2.9891000000000001"/>
    <n v="0.81240000000000001"/>
    <n v="69.486800000000002"/>
    <n v="154.24979999999999"/>
    <n v="41.637500000000003"/>
    <s v="141.06"/>
    <n v="-1.7491000000000001"/>
    <n v="112.61229999999999"/>
  </r>
  <r>
    <s v="SLEEPY BABY PH5.5 70 W BAG"/>
    <s v=" ErusHealth Products"/>
    <x v="32"/>
    <s v="BAGS"/>
    <s v="PH BALANCED"/>
    <n v="70"/>
    <n v="1.1599999999999999"/>
    <n v="1.8923000000000001"/>
    <n v="0"/>
    <n v="44.862200000000001"/>
    <n v="87.694800000000001"/>
    <n v="0"/>
    <s v="63.13"/>
    <n v="-0.73230000000000017"/>
    <n v="87.694800000000001"/>
  </r>
  <r>
    <s v="SLEEPY  FreshClean 90 W BAG KAPAK"/>
    <s v=" ErusHealth Products"/>
    <x v="32"/>
    <s v="BAGS"/>
    <s v="WITHOUT EXTRA PROTECTCARE INDICATION"/>
    <n v="90"/>
    <n v="0"/>
    <n v="14.477"/>
    <n v="3.1046999999999998"/>
    <n v="0"/>
    <n v="762.29949999999997"/>
    <n v="149.91970000000001"/>
    <s v="0.00"/>
    <n v="-14.477"/>
    <n v="612.37979999999993"/>
  </r>
  <r>
    <s v="YESS BABY ALC.FREE W 120 BAG"/>
    <s v=" ErusHealth Products"/>
    <x v="33"/>
    <s v="BAGS"/>
    <s v="ALCOHOL FREE"/>
    <n v="120"/>
    <n v="0.25940000000000002"/>
    <n v="47.287300000000002"/>
    <n v="13.3363"/>
    <n v="15.5664"/>
    <n v="2338.1842000000001"/>
    <n v="671.9117"/>
    <s v="18129.49"/>
    <n v="-47.027900000000002"/>
    <n v="1666.2725"/>
  </r>
  <r>
    <s v="YESS BABY ALC.FREE W 15 BAG"/>
    <s v=" ErusHealth Products"/>
    <x v="33"/>
    <s v="BAGS"/>
    <s v="ALCOHOL FREE"/>
    <n v="15"/>
    <n v="0"/>
    <n v="5.6702000000000004"/>
    <n v="10.135199999999999"/>
    <n v="0"/>
    <n v="206.95869999999999"/>
    <n v="365.12360000000001"/>
    <s v="0.00"/>
    <n v="-5.6702000000000004"/>
    <n v="-158.16490000000002"/>
  </r>
  <r>
    <s v="ELAN SENS.CREAM LOTION W 120 BAG ZELENI"/>
    <s v=" Esburg Health"/>
    <x v="34"/>
    <s v="BAGS"/>
    <s v="SENSITIVE"/>
    <n v="120"/>
    <n v="0"/>
    <n v="82.250100000000003"/>
    <n v="55.842500000000001"/>
    <n v="0"/>
    <n v="5284.8972000000003"/>
    <n v="3137.2123999999999"/>
    <s v="0.00"/>
    <n v="-82.250100000000003"/>
    <n v="2147.6848000000005"/>
  </r>
  <r>
    <s v="LAN SENS.CREAM LOTION 120 BAG LILAVI"/>
    <s v=" Esburg Health"/>
    <x v="34"/>
    <s v="BAGS"/>
    <s v="SENSITIVE"/>
    <n v="120"/>
    <n v="0"/>
    <n v="88.414900000000003"/>
    <n v="45.6905"/>
    <n v="0"/>
    <n v="5662.4585999999999"/>
    <n v="2576.6464000000001"/>
    <s v="0.00"/>
    <n v="-88.414900000000003"/>
    <n v="3085.8121999999998"/>
  </r>
  <r>
    <s v="SETABLU OAT EXTRACT PH5.5 W 72 BAG KAPAK"/>
    <s v=" SCProducts"/>
    <x v="35"/>
    <s v="BAGS"/>
    <s v="PH BALANCED"/>
    <n v="72"/>
    <n v="0.24010000000000001"/>
    <n v="0"/>
    <n v="0"/>
    <n v="10.8056"/>
    <n v="0"/>
    <n v="0"/>
    <s v="0.00"/>
    <n v="0.24010000000000001"/>
    <n v="0"/>
  </r>
  <r>
    <s v="LIBERO ALOE ALC.FREE W 20 BAG"/>
    <s v=" EssentialsCo"/>
    <x v="36"/>
    <s v="BAGS"/>
    <s v="ALCOHOL FREE"/>
    <n v="20"/>
    <n v="8.8999999999999999E-3"/>
    <n v="1.9E-3"/>
    <n v="0"/>
    <n v="0.1"/>
    <n v="0.02"/>
    <n v="0"/>
    <s v="-78.65"/>
    <n v="7.0000000000000001E-3"/>
    <n v="0.02"/>
  </r>
  <r>
    <s v="LIBERO ALOE&amp;CHAMOMILE W 20 BAG"/>
    <s v=" EssentialsCo"/>
    <x v="36"/>
    <s v="BAGS"/>
    <s v="ALCOHOL FREE"/>
    <n v="20"/>
    <n v="3.6436000000000002"/>
    <n v="0.20610000000000001"/>
    <n v="0.1404"/>
    <n v="40.526699999999998"/>
    <n v="2.1286999999999998"/>
    <n v="1.4401999999999999"/>
    <s v="-94.34"/>
    <n v="3.4375"/>
    <n v="0.68849999999999989"/>
  </r>
  <r>
    <s v="LIBERO ALOE&amp;CHAMOMILE W 4X64 BAG"/>
    <s v=" EssentialsCo"/>
    <x v="36"/>
    <s v="BAGS"/>
    <s v="ALCOHOL FREE"/>
    <n v="64"/>
    <n v="4.9200000000000001E-2"/>
    <n v="1.14E-2"/>
    <n v="0"/>
    <n v="3.4851000000000001"/>
    <n v="0.25600000000000001"/>
    <n v="0"/>
    <s v="-76.83"/>
    <n v="3.78E-2"/>
    <n v="0.25600000000000001"/>
  </r>
  <r>
    <s v="LIBERO ALOE&amp;CHAMOMILE W 64 BAG"/>
    <s v=" EssentialsCo"/>
    <x v="36"/>
    <s v="BAGS"/>
    <s v="ALCOHOL FREE"/>
    <n v="64"/>
    <n v="4.9882"/>
    <n v="0.97860000000000003"/>
    <n v="0"/>
    <n v="116.9594"/>
    <n v="26.678799999999999"/>
    <n v="0"/>
    <s v="-80.38"/>
    <n v="4.0095999999999998"/>
    <n v="26.678799999999999"/>
  </r>
  <r>
    <s v="EVY BABY SOFT CHAMOMILE ALC.FREE W50 BAG"/>
    <s v=" EveCraft"/>
    <x v="37"/>
    <s v="BAGS"/>
    <s v="ALCOHOL FREE"/>
    <n v="50"/>
    <n v="0"/>
    <n v="0"/>
    <n v="0.16420000000000001"/>
    <n v="0"/>
    <n v="0"/>
    <n v="5.0327000000000002"/>
    <s v="0.00"/>
    <n v="0"/>
    <n v="-5.0327000000000002"/>
  </r>
  <r>
    <s v="EVY BABY SOFT CHAMOMILE EXTRACT W 56 BAG"/>
    <s v=" EveCraft"/>
    <x v="37"/>
    <s v="BAGS"/>
    <s v="ALCOHOL FREE"/>
    <n v="56"/>
    <n v="2.3513000000000002"/>
    <n v="13.7189"/>
    <n v="5.1338999999999997"/>
    <n v="93.938999999999993"/>
    <n v="476.75330000000002"/>
    <n v="161.36660000000001"/>
    <s v="483.46"/>
    <n v="-11.367599999999999"/>
    <n v="315.38670000000002"/>
  </r>
  <r>
    <s v="EVY BABY CREAMY ALOE VERA MOIST W 60 BAG"/>
    <s v=" EveCraft"/>
    <x v="37"/>
    <s v="BAGS"/>
    <s v="ALCOHOL FREE"/>
    <n v="60"/>
    <n v="7.0484"/>
    <n v="24.545400000000001"/>
    <n v="7.2644000000000002"/>
    <n v="315.70249999999999"/>
    <n v="945.68759999999997"/>
    <n v="273.77960000000002"/>
    <s v="248.24"/>
    <n v="-17.497"/>
    <n v="671.9079999999999"/>
  </r>
  <r>
    <s v="EVY BABY SOFT CHAMOMILE EXTRACT W 60 BAG"/>
    <s v=" EveCraft"/>
    <x v="37"/>
    <s v="BAGS"/>
    <s v="ALCOHOL FREE"/>
    <n v="60"/>
    <n v="6.2529000000000003"/>
    <n v="0"/>
    <n v="0"/>
    <n v="300.22300000000001"/>
    <n v="0"/>
    <n v="0"/>
    <s v="0.00"/>
    <n v="6.2529000000000003"/>
    <n v="0"/>
  </r>
  <r>
    <s v="FEMOLE FRESH VITE PH5.5 W 72 BAG CHERVEN"/>
    <s v=" FemmeBeauty"/>
    <x v="38"/>
    <s v="BAGS"/>
    <s v="PH BALANCED"/>
    <n v="72"/>
    <n v="1.6668000000000001"/>
    <n v="3.7600000000000001E-2"/>
    <n v="0"/>
    <n v="75.837299999999999"/>
    <n v="1.6555"/>
    <n v="0"/>
    <s v="-97.74"/>
    <n v="1.6292"/>
    <n v="1.6555"/>
  </r>
  <r>
    <s v="FEMOLE FRESHBABY VITE PH5.5 W 72 BAG SIN"/>
    <s v=" FemmeBeauty"/>
    <x v="38"/>
    <s v="BAGS"/>
    <s v="PH BALANCED"/>
    <n v="72"/>
    <n v="7.5975000000000001"/>
    <n v="0.1353"/>
    <n v="3.0000000000000001E-3"/>
    <n v="283.12259999999998"/>
    <n v="3.3016999999999999"/>
    <n v="7.1999999999999995E-2"/>
    <s v="-98.22"/>
    <n v="7.4622000000000002"/>
    <n v="3.2296999999999998"/>
  </r>
  <r>
    <s v="BERFINY CLASSIC BABY W 72 BAG"/>
    <s v=" Fulya Beauty"/>
    <x v="39"/>
    <s v="BAGS"/>
    <s v="ALCOHOL FREE"/>
    <n v="72"/>
    <n v="2.5741999999999998"/>
    <n v="0.57930000000000004"/>
    <n v="9.0300000000000005E-2"/>
    <n v="138.52269999999999"/>
    <n v="28.2058"/>
    <n v="3.9451999999999998"/>
    <s v="-77.50"/>
    <n v="1.9948999999999999"/>
    <n v="24.2606"/>
  </r>
  <r>
    <s v="BERFINY EXTRA BABY W 72 BAG"/>
    <s v=" Fulya Beauty"/>
    <x v="39"/>
    <s v="BAGS"/>
    <s v="WITHOUT EXTRA PROTECTCARE INDICATION"/>
    <n v="72"/>
    <n v="0"/>
    <n v="3.2000000000000002E-3"/>
    <n v="0"/>
    <n v="0"/>
    <n v="0.14879999999999999"/>
    <n v="0"/>
    <s v="0.00"/>
    <n v="-3.2000000000000002E-3"/>
    <n v="0.14879999999999999"/>
  </r>
  <r>
    <s v="FRESH RUNY BABY PH5.5 ALC.FREE W 120 BAG"/>
    <s v=" Fulya Beauty"/>
    <x v="40"/>
    <s v="BAGS"/>
    <s v="PH BALANCED"/>
    <n v="120"/>
    <n v="29.782299999999999"/>
    <n v="8.0821000000000005"/>
    <n v="2.2058"/>
    <n v="1812.3146999999999"/>
    <n v="442.9864"/>
    <n v="129.73259999999999"/>
    <s v="-72.86"/>
    <n v="21.700199999999999"/>
    <n v="313.25380000000001"/>
  </r>
  <r>
    <s v="FRESH RUNY BABY MILK&amp;HONEY W 64 BAG"/>
    <s v=" Fulya Beauty"/>
    <x v="40"/>
    <s v="BAGS"/>
    <s v="WITHOUT EXTRA PROTECTCARE INDICATION"/>
    <n v="64"/>
    <n v="0.4194"/>
    <n v="0.27539999999999998"/>
    <n v="7.5600000000000001E-2"/>
    <n v="22.036999999999999"/>
    <n v="13.908200000000001"/>
    <n v="3.7229000000000001"/>
    <s v="-34.33"/>
    <n v="0.14400000000000002"/>
    <n v="10.185300000000002"/>
  </r>
  <r>
    <s v="FRESH MAKER BABY PH5.5 W 120 BAG JUMBO"/>
    <s v=" Fulya Beauty"/>
    <x v="41"/>
    <s v="BAGS"/>
    <s v="PH BALANCED"/>
    <n v="120"/>
    <n v="393.93759999999997"/>
    <n v="316.5532"/>
    <n v="120.4361"/>
    <n v="20334.628400000001"/>
    <n v="15456.115599999999"/>
    <n v="5660.8364000000001"/>
    <s v="-19.64"/>
    <n v="77.384399999999971"/>
    <n v="9795.279199999999"/>
  </r>
  <r>
    <s v="FRESH MAKER BABY CREAM W 120/48FREE BAG"/>
    <s v=" Fulya Beauty"/>
    <x v="41"/>
    <s v="BAGS"/>
    <s v="PH BALANCED"/>
    <n v="72"/>
    <n v="11.008699999999999"/>
    <n v="0"/>
    <n v="0"/>
    <n v="653.37990000000002"/>
    <n v="0"/>
    <n v="0"/>
    <s v="0.00"/>
    <n v="11.008699999999999"/>
    <n v="0"/>
  </r>
  <r>
    <s v="FRESH MAKER BABY CREAM W 72 BAG"/>
    <s v=" Fulya Beauty"/>
    <x v="41"/>
    <s v="BAGS"/>
    <s v="PH BALANCED"/>
    <n v="72"/>
    <n v="6.3380999999999998"/>
    <n v="2.2010000000000001"/>
    <n v="4.9340999999999999"/>
    <n v="360.70839999999998"/>
    <n v="122.7465"/>
    <n v="260.16239999999999"/>
    <s v="-65.27"/>
    <n v="4.1371000000000002"/>
    <n v="-137.41589999999999"/>
  </r>
  <r>
    <s v="FRESH MAKER BABY CREAM W 72 BAG KAPAK"/>
    <s v=" Fulya Beauty"/>
    <x v="41"/>
    <s v="BAGS"/>
    <s v="PH BALANCED"/>
    <n v="72"/>
    <n v="17.2865"/>
    <n v="3.1953"/>
    <n v="0"/>
    <n v="1104.6166000000001"/>
    <n v="157.0744"/>
    <n v="0"/>
    <s v="-81.52"/>
    <n v="14.091200000000001"/>
    <n v="157.0744"/>
  </r>
  <r>
    <s v="FRESH MAKER BABY CREAM W 96/24FREE BAG"/>
    <s v=" Fulya Beauty"/>
    <x v="41"/>
    <s v="BAGS"/>
    <s v="WITHOUT EXTRA PROTECTCARE INDICATION"/>
    <n v="72"/>
    <n v="8.3360000000000003"/>
    <n v="4.1882999999999999"/>
    <n v="0.16869999999999999"/>
    <n v="355.34039999999999"/>
    <n v="181.6489"/>
    <n v="7.0335999999999999"/>
    <s v="-49.76"/>
    <n v="4.1477000000000004"/>
    <n v="174.61529999999999"/>
  </r>
  <r>
    <s v="FRESH MAKER BABY W 72 BAG"/>
    <s v=" Fulya Beauty"/>
    <x v="41"/>
    <s v="BAGS"/>
    <s v="ALCOHOL FREE"/>
    <n v="72"/>
    <n v="10.51"/>
    <n v="23.858699999999999"/>
    <n v="12.9741"/>
    <n v="602.08569999999997"/>
    <n v="1188.0914"/>
    <n v="658.29200000000003"/>
    <s v="127.01"/>
    <n v="-13.348699999999999"/>
    <n v="529.79939999999999"/>
  </r>
  <r>
    <s v="FRESH MAKER BABY WITH CREAM W 72 BAG"/>
    <s v=" Fulya Beauty"/>
    <x v="41"/>
    <s v="BAGS"/>
    <s v="PH BALANCED"/>
    <n v="72"/>
    <n v="0.1246"/>
    <n v="0"/>
    <n v="4.1500000000000002E-2"/>
    <n v="7.4763999999999999"/>
    <n v="0"/>
    <n v="3.0169000000000001"/>
    <s v="0.00"/>
    <n v="0.1246"/>
    <n v="-3.0169000000000001"/>
  </r>
  <r>
    <s v="FRESH MAKER ALOE VERA PH5.5 W 90 BAG"/>
    <s v=" Fulya Beauty"/>
    <x v="41"/>
    <s v="BAGS"/>
    <s v="PH BALANCED"/>
    <n v="90"/>
    <n v="0"/>
    <n v="1.9545999999999999"/>
    <n v="2.1882000000000001"/>
    <n v="0"/>
    <n v="80.589100000000002"/>
    <n v="78.875"/>
    <s v="0.00"/>
    <n v="-1.9545999999999999"/>
    <n v="1.714100000000002"/>
  </r>
  <r>
    <s v="FRESH MAKER SENSITIVE ALC.FREE W 90 BAG"/>
    <s v=" Fulya Beauty"/>
    <x v="41"/>
    <s v="BAGS"/>
    <s v="SENSITIVE"/>
    <n v="90"/>
    <n v="4.02E-2"/>
    <n v="0"/>
    <n v="5.1000000000000004E-3"/>
    <n v="1.9040999999999999"/>
    <n v="0"/>
    <n v="0.1958"/>
    <s v="0.00"/>
    <n v="4.02E-2"/>
    <n v="-0.1958"/>
  </r>
  <r>
    <s v="HAPPY ALOE VERA W 100 BAG KAPAK"/>
    <s v=" Fulya Beauty"/>
    <x v="42"/>
    <s v="BAGS"/>
    <s v="PH BALANCED"/>
    <n v="100"/>
    <n v="0"/>
    <n v="6.88E-2"/>
    <n v="1.5603"/>
    <n v="0"/>
    <n v="2.9011"/>
    <n v="56.070300000000003"/>
    <s v="0.00"/>
    <n v="-6.88E-2"/>
    <n v="-53.169200000000004"/>
  </r>
  <r>
    <s v="KIDS BABY WET WIPES W 72 BAG KAPACHE"/>
    <s v=" Fulya Beauty"/>
    <x v="43"/>
    <s v="BAGS"/>
    <s v="PH BALANCED"/>
    <n v="72"/>
    <n v="225.05289999999999"/>
    <n v="160.9256"/>
    <n v="66.089799999999997"/>
    <n v="14096.87"/>
    <n v="9843.2201000000005"/>
    <n v="3643.3836000000001"/>
    <s v="-28.49"/>
    <n v="64.127299999999991"/>
    <n v="6199.8365000000003"/>
  </r>
  <r>
    <s v="LIO FRESH BABY CREAM LOTION W 72 BAG"/>
    <s v=" Fulya Beauty"/>
    <x v="44"/>
    <s v="BAGS"/>
    <s v="ALCOHOL FREE"/>
    <n v="72"/>
    <n v="27.677700000000002"/>
    <n v="22.1416"/>
    <n v="9.0610999999999997"/>
    <n v="1974.3932"/>
    <n v="1482.2675999999999"/>
    <n v="601.1807"/>
    <s v="-20.00"/>
    <n v="5.5361000000000011"/>
    <n v="881.0868999999999"/>
  </r>
  <r>
    <s v="NEMDIL BABY ROSE W 120 BAG KAPAK"/>
    <s v=" Fulya Beauty"/>
    <x v="45"/>
    <s v="BAGS"/>
    <s v="ALCOHOL FREE"/>
    <n v="120"/>
    <n v="41.221899999999998"/>
    <n v="44.201300000000003"/>
    <n v="20.616900000000001"/>
    <n v="1922.9742000000001"/>
    <n v="2020.3897999999999"/>
    <n v="923.72320000000002"/>
    <s v="7.23"/>
    <n v="-2.9794000000000054"/>
    <n v="1096.6666"/>
  </r>
  <r>
    <s v="NEMDIL BABY WITH CREAM W 120 BAG KAPAK"/>
    <s v=" Fulya Beauty"/>
    <x v="45"/>
    <s v="BAGS"/>
    <s v="ALCOHOL FREE"/>
    <n v="120"/>
    <n v="41.486600000000003"/>
    <n v="73.395700000000005"/>
    <n v="40.033299999999997"/>
    <n v="2454.0007999999998"/>
    <n v="4307.1679999999997"/>
    <n v="2180.9749000000002"/>
    <s v="76.91"/>
    <n v="-31.909100000000002"/>
    <n v="2126.1930999999995"/>
  </r>
  <r>
    <s v="NEMDIL BABY ALCOHOL FREE W 72 BAG"/>
    <s v=" Fulya Beauty"/>
    <x v="45"/>
    <s v="BAGS"/>
    <s v="ALCOHOL FREE"/>
    <n v="72"/>
    <n v="0"/>
    <n v="0"/>
    <n v="0.36020000000000002"/>
    <n v="0"/>
    <n v="0"/>
    <n v="18.523700000000002"/>
    <s v="0.00"/>
    <n v="0"/>
    <n v="-18.523700000000002"/>
  </r>
  <r>
    <s v="NEMDIL BABY OLIVE OIL CAMOMILE W 72 BAG"/>
    <s v=" Fulya Beauty"/>
    <x v="45"/>
    <s v="BAGS"/>
    <s v="WITHOUT EXTRA PROTECTCARE INDICATION"/>
    <n v="72"/>
    <n v="50.296300000000002"/>
    <n v="34.107599999999998"/>
    <n v="15.9543"/>
    <n v="3350.8564000000001"/>
    <n v="2178.5326"/>
    <n v="866.22"/>
    <s v="-32.19"/>
    <n v="16.188700000000004"/>
    <n v="1312.3126"/>
  </r>
  <r>
    <s v="NEMDIL BABYDELUXEALOE&amp;MIK&amp;HONEY W 72KAPA"/>
    <s v=" Fulya Beauty"/>
    <x v="45"/>
    <s v="BAGS"/>
    <s v="WITHOUT EXTRA PROTECTCARE INDICATION"/>
    <n v="72"/>
    <n v="5.0095999999999998"/>
    <n v="5.5152000000000001"/>
    <n v="4.4993999999999996"/>
    <n v="141.5444"/>
    <n v="154.2473"/>
    <n v="124.59650000000001"/>
    <s v="10.09"/>
    <n v="-0.50560000000000027"/>
    <n v="29.65079999999999"/>
  </r>
  <r>
    <s v="PREMIUM QUALITY BABY W 72 BAG &amp;&amp;&amp;"/>
    <s v=" Fulya Beauty"/>
    <x v="46"/>
    <s v="BAGS"/>
    <s v="ALCOHOL FREE"/>
    <n v="72"/>
    <n v="4.6416000000000004"/>
    <n v="5.1684999999999999"/>
    <n v="0.78010000000000002"/>
    <n v="142.55420000000001"/>
    <n v="145.93899999999999"/>
    <n v="21.435099999999998"/>
    <s v="11.35"/>
    <n v="-0.52689999999999948"/>
    <n v="124.50389999999999"/>
  </r>
  <r>
    <s v="PURE BABY LILIUM W 120 BAG KAPAK"/>
    <s v=" Fulya Beauty"/>
    <x v="31"/>
    <s v="BAGS"/>
    <s v="ALCOHOL FREE"/>
    <n v="120"/>
    <n v="137.1788"/>
    <n v="116.5658"/>
    <n v="65.912899999999993"/>
    <n v="7929.3796000000002"/>
    <n v="6740.5910999999996"/>
    <n v="3524.3125"/>
    <s v="-15.03"/>
    <n v="20.613"/>
    <n v="3216.2785999999996"/>
  </r>
  <r>
    <s v="NAPEEZBYGRACIA BABY PH5.5 100 BAG KAPAK"/>
    <s v=" Grace Corp"/>
    <x v="47"/>
    <s v="BAGS"/>
    <s v="PH BALANCED"/>
    <n v="100"/>
    <n v="14.2293"/>
    <n v="21.789000000000001"/>
    <n v="7.9466000000000001"/>
    <n v="761.61429999999996"/>
    <n v="1129.7994000000001"/>
    <n v="412.24349999999998"/>
    <s v="53.13"/>
    <n v="-7.5597000000000012"/>
    <n v="717.55590000000007"/>
  </r>
  <r>
    <s v="MIKE LINE SENSIT.CREAM LOTION W 72 BAG"/>
    <s v=" SouthernGroup SP"/>
    <x v="48"/>
    <s v="BAGS"/>
    <s v="SENSITIVE"/>
    <n v="72"/>
    <n v="7.4866999999999999"/>
    <n v="1.5100000000000001E-2"/>
    <n v="0"/>
    <n v="509.18150000000003"/>
    <n v="0.77590000000000003"/>
    <n v="0"/>
    <s v="-99.80"/>
    <n v="7.4715999999999996"/>
    <n v="0.77590000000000003"/>
  </r>
  <r>
    <s v="PRIME TALKO SENSITIVE 63 BAG KAPAK"/>
    <s v=" AvellinoGroup SRL"/>
    <x v="49"/>
    <s v="BAGS"/>
    <s v="SENSITIVE"/>
    <n v="63"/>
    <n v="1.3945000000000001"/>
    <n v="0"/>
    <n v="0"/>
    <n v="67.202299999999994"/>
    <n v="0"/>
    <n v="0"/>
    <s v="0.00"/>
    <n v="1.3945000000000001"/>
    <n v="0"/>
  </r>
  <r>
    <s v="PRIME BABY ALC.FREE 72 BAG KAPAK"/>
    <s v=" AvellinoGroup SRL"/>
    <x v="49"/>
    <s v="BAGS"/>
    <s v="ALCOHOL FREE"/>
    <n v="72"/>
    <n v="7.7927999999999997"/>
    <n v="0"/>
    <n v="0"/>
    <n v="362.96660000000003"/>
    <n v="0"/>
    <n v="0"/>
    <s v="0.00"/>
    <n v="7.7927999999999997"/>
    <n v="0"/>
  </r>
  <r>
    <s v="PONKY BABY W 72 BAG +KAPACHE"/>
    <s v=" RoseBeauty"/>
    <x v="50"/>
    <s v="BAGS"/>
    <s v="WITHOUT EXTRA PROTECTCARE INDICATION"/>
    <n v="72"/>
    <n v="63.770400000000002"/>
    <n v="23.340299999999999"/>
    <n v="11.8607"/>
    <n v="2545.3452000000002"/>
    <n v="949.45609999999999"/>
    <n v="459.19099999999997"/>
    <s v="-63.40"/>
    <n v="40.430100000000003"/>
    <n v="490.26510000000002"/>
  </r>
  <r>
    <s v="PONKY BABY WET TOWEL W 72 BAG ZHALTI"/>
    <s v=" RoseBeauty"/>
    <x v="50"/>
    <s v="BAGS"/>
    <s v="ALCOHOL FREE"/>
    <n v="72"/>
    <n v="12.7019"/>
    <n v="13.0259"/>
    <n v="5.5613999999999999"/>
    <n v="553.99599999999998"/>
    <n v="562.68320000000006"/>
    <n v="225.62440000000001"/>
    <s v="2.55"/>
    <n v="-0.32399999999999984"/>
    <n v="337.05880000000002"/>
  </r>
  <r>
    <s v="POZZY EXTRA MILK&amp;HONEY PH5.5 W 72 BAG"/>
    <s v=" RoseBeauty"/>
    <x v="51"/>
    <s v="BAGS"/>
    <s v="PH BALANCED"/>
    <n v="72"/>
    <n v="0.59"/>
    <n v="0"/>
    <n v="0"/>
    <n v="18.470099999999999"/>
    <n v="0"/>
    <n v="0"/>
    <s v="0.00"/>
    <n v="0.59"/>
    <n v="0"/>
  </r>
  <r>
    <s v="POZZY EXTRA OLIVE OIL ALC.FREE W 72 BAG"/>
    <s v=" RoseBeauty"/>
    <x v="51"/>
    <s v="BAGS"/>
    <s v="ALCOHOL FREE"/>
    <n v="72"/>
    <n v="0.59"/>
    <n v="0"/>
    <n v="0"/>
    <n v="18.470099999999999"/>
    <n v="0"/>
    <n v="0"/>
    <s v="0.00"/>
    <n v="0.59"/>
    <n v="0"/>
  </r>
  <r>
    <s v="CLEANIC BABY ATOPICAL D-PANT. PH 50 BAG"/>
    <s v=" CleanHarper"/>
    <x v="52"/>
    <s v="BAGS"/>
    <s v="HYPOALLERGENIC"/>
    <n v="50"/>
    <n v="0"/>
    <n v="1.1446000000000001"/>
    <n v="0.29039999999999999"/>
    <n v="0"/>
    <n v="11.6808"/>
    <n v="3.3864000000000001"/>
    <s v="0.00"/>
    <n v="-1.1446000000000001"/>
    <n v="8.2943999999999996"/>
  </r>
  <r>
    <s v="CLEANIC BABY PROBIOTICAL HYPOAL.50 BAG"/>
    <s v=" CleanHarper"/>
    <x v="52"/>
    <s v="BAGS"/>
    <s v="HYPOALLERGENIC"/>
    <n v="50"/>
    <n v="0"/>
    <n v="0.49220000000000003"/>
    <n v="0.1164"/>
    <n v="0"/>
    <n v="4.2202000000000002"/>
    <n v="0.85"/>
    <s v="0.00"/>
    <n v="-0.49220000000000003"/>
    <n v="3.3702000000000001"/>
  </r>
  <r>
    <s v="CLEANIC BABY VEGEMILK VIT&amp;MIN.50 BAG"/>
    <s v=" CleanHarper"/>
    <x v="52"/>
    <s v="BAGS"/>
    <s v="PH BALANCED"/>
    <n v="50"/>
    <n v="0"/>
    <n v="1.4152"/>
    <n v="0.3513"/>
    <n v="0"/>
    <n v="20.5671"/>
    <n v="6.5918999999999999"/>
    <s v="0.00"/>
    <n v="-1.4152"/>
    <n v="13.975200000000001"/>
  </r>
  <r>
    <s v="PETINO DELICATO&amp;FRESH ALANTOIN 120 BAG"/>
    <s v=" CleanHarper"/>
    <x v="53"/>
    <s v="BAGS"/>
    <s v="WITHOUT EXTRA PROTECTCARE INDICATION"/>
    <n v="120"/>
    <n v="6.1999999999999998E-3"/>
    <n v="21.155899999999999"/>
    <n v="10.029400000000001"/>
    <n v="0.32569999999999999"/>
    <n v="1092.0349000000001"/>
    <n v="489.28280000000001"/>
    <s v="341124.19"/>
    <n v="-21.149699999999999"/>
    <n v="602.75210000000015"/>
  </r>
  <r>
    <s v="PETINO DELICATO&amp;FRESH ALANTOIN 84/12FR"/>
    <s v=" CleanHarper"/>
    <x v="53"/>
    <s v="BAGS"/>
    <s v="WITHOUT EXTRA PROTECTCARE INDICATION"/>
    <n v="72"/>
    <n v="230.74209999999999"/>
    <n v="277.85789999999997"/>
    <n v="133.2149"/>
    <n v="11792.3397"/>
    <n v="14416.314700000001"/>
    <n v="6626.5474000000004"/>
    <s v="20.42"/>
    <n v="-47.115799999999979"/>
    <n v="7789.7673000000004"/>
  </r>
  <r>
    <s v="MOLFIX BABY COTTON PH5.5 W 50 BAG HAYAT"/>
    <s v=" LifeChem"/>
    <x v="54"/>
    <s v="BAGS"/>
    <s v="PH BALANCED"/>
    <n v="50"/>
    <n v="0.37059999999999998"/>
    <n v="0.24890000000000001"/>
    <n v="0"/>
    <n v="9.2727000000000004"/>
    <n v="7.0415000000000001"/>
    <n v="0"/>
    <s v="-32.84"/>
    <n v="0.12169999999999997"/>
    <n v="7.0415000000000001"/>
  </r>
  <r>
    <s v="MOLFIX BABY IZOT.WATER PANT.&amp;LAN.W 60 BA"/>
    <s v=" LifeChem"/>
    <x v="54"/>
    <s v="BAGS"/>
    <s v="PH BALANCED"/>
    <n v="60"/>
    <n v="29.4162"/>
    <n v="107.9663"/>
    <n v="52.6723"/>
    <n v="866.39819999999997"/>
    <n v="3176.0981999999999"/>
    <n v="1396.3396"/>
    <s v="267.03"/>
    <n v="-78.5501"/>
    <n v="1779.7585999999999"/>
  </r>
  <r>
    <s v="MOLFIX BABY LOTION ISO.WATER W 3X60 BAG"/>
    <s v=" LifeChem"/>
    <x v="54"/>
    <s v="BAGS"/>
    <s v="PH BALANCED"/>
    <n v="60"/>
    <n v="2.2702"/>
    <n v="6.8476999999999997"/>
    <n v="4.3963000000000001"/>
    <n v="71.277600000000007"/>
    <n v="210.60059999999999"/>
    <n v="121.2728"/>
    <s v="201.63"/>
    <n v="-4.5774999999999997"/>
    <n v="89.327799999999982"/>
  </r>
  <r>
    <s v="MOLFIX BABY LOTION PH5.5 W 60 BAG HAYAT"/>
    <s v=" LifeChem"/>
    <x v="54"/>
    <s v="BAGS"/>
    <s v="PH BALANCED"/>
    <n v="60"/>
    <n v="296.26589999999999"/>
    <n v="290.55259999999998"/>
    <n v="128.1713"/>
    <n v="8749.3634000000002"/>
    <n v="8593.8201000000008"/>
    <n v="3618.6093999999998"/>
    <s v="-1.93"/>
    <n v="5.7133000000000038"/>
    <n v="4975.2107000000015"/>
  </r>
  <r>
    <s v="MOLFIX BABY LOTION W 3X60 BAG HAYAT"/>
    <s v=" LifeChem"/>
    <x v="54"/>
    <s v="BAGS"/>
    <s v="PH BALANCED"/>
    <n v="60"/>
    <n v="2.9716999999999998"/>
    <n v="0.47810000000000002"/>
    <n v="0.26490000000000002"/>
    <n v="93.2804"/>
    <n v="14.5885"/>
    <n v="7.5808999999999997"/>
    <s v="-83.91"/>
    <n v="2.4935999999999998"/>
    <n v="7.0076000000000001"/>
  </r>
  <r>
    <s v="MOLFIX BABY LOTION W 3X63 BAG HAYAT"/>
    <s v=" LifeChem"/>
    <x v="54"/>
    <s v="BAGS"/>
    <s v="PH BALANCED"/>
    <n v="63"/>
    <n v="0.21840000000000001"/>
    <n v="0"/>
    <n v="0"/>
    <n v="7.3784000000000001"/>
    <n v="0"/>
    <n v="0"/>
    <s v="0.00"/>
    <n v="0.21840000000000001"/>
    <n v="0"/>
  </r>
  <r>
    <s v="MOLFIX BABY W 63 BAG HAYAT"/>
    <s v=" LifeChem"/>
    <x v="54"/>
    <s v="BAGS"/>
    <s v="WITHOUT EXTRA PROTECTCARE INDICATION"/>
    <n v="63"/>
    <n v="0.50360000000000005"/>
    <n v="0"/>
    <n v="0"/>
    <n v="14.988200000000001"/>
    <n v="0"/>
    <n v="0"/>
    <s v="0.00"/>
    <n v="0.50360000000000005"/>
    <n v="0"/>
  </r>
  <r>
    <s v="HIMALAYA ALOE VERA&amp;INDIANLOTUS W 20 BAG"/>
    <s v=" MountainMedicine"/>
    <x v="55"/>
    <s v="BAGS"/>
    <s v="ALCOHOL FREE &amp; HYPOALLERGENIC"/>
    <n v="20"/>
    <n v="0.17610000000000001"/>
    <n v="1.0699999999999999E-2"/>
    <n v="0"/>
    <n v="3.1602000000000001"/>
    <n v="0.19450000000000001"/>
    <n v="0"/>
    <s v="-93.92"/>
    <n v="0.16540000000000002"/>
    <n v="0.19450000000000001"/>
  </r>
  <r>
    <s v="HIMALAYA SOOTHING&amp;PROTECTINGBABY W 20BAG"/>
    <s v=" MountainMedicine"/>
    <x v="55"/>
    <s v="BAGS"/>
    <s v="ALCOHOL FREE &amp; HYPOALLERGENIC"/>
    <n v="20"/>
    <n v="0.50239999999999996"/>
    <n v="6.6451000000000002"/>
    <n v="0"/>
    <n v="10.56"/>
    <n v="115.3312"/>
    <n v="0"/>
    <s v="1222.67"/>
    <n v="-6.1427000000000005"/>
    <n v="115.3312"/>
  </r>
  <r>
    <s v="HIMALAYA ALOE VERA&amp;INDIANLOTUS W 56 BAG"/>
    <s v=" MountainMedicine"/>
    <x v="55"/>
    <s v="BAGS"/>
    <s v="ALCOHOL FREE &amp; HYPOALLERGENIC"/>
    <n v="56"/>
    <n v="0.31990000000000002"/>
    <n v="0"/>
    <n v="0"/>
    <n v="7.3638000000000003"/>
    <n v="0"/>
    <n v="0"/>
    <s v="0.00"/>
    <n v="0.31990000000000002"/>
    <n v="0"/>
  </r>
  <r>
    <s v="HIMALAYA SOOTHING&amp;PROTECTINGBABY W 56BAG"/>
    <s v=" MountainMedicine"/>
    <x v="55"/>
    <s v="BAGS"/>
    <s v="ALCOHOL FREE &amp; HYPOALLERGENIC"/>
    <n v="56"/>
    <n v="3.0116000000000001"/>
    <n v="0"/>
    <n v="0"/>
    <n v="62.468000000000004"/>
    <n v="0"/>
    <n v="0"/>
    <s v="0.00"/>
    <n v="3.0116000000000001"/>
    <n v="0"/>
  </r>
  <r>
    <s v="HIPP BABY SANFT ALMOND PH5.5 W 10 BAG"/>
    <s v=" Swift GMBH"/>
    <x v="56"/>
    <s v="BAGS"/>
    <s v="PH BALANCED"/>
    <n v="10"/>
    <n v="1.7111000000000001"/>
    <n v="0.48920000000000002"/>
    <n v="7.6600000000000001E-2"/>
    <n v="14.330299999999999"/>
    <n v="3.8454999999999999"/>
    <n v="0.62309999999999999"/>
    <s v="-71.41"/>
    <n v="1.2219"/>
    <n v="3.2223999999999999"/>
  </r>
  <r>
    <s v="HIPP BABY ULTRASENSITIVE MANDEL W 52 BAG"/>
    <s v=" Swift GMBH"/>
    <x v="56"/>
    <s v="BAGS"/>
    <s v="SENSITIVE"/>
    <n v="52"/>
    <n v="88.057900000000004"/>
    <n v="26.767399999999999"/>
    <n v="2.3372999999999999"/>
    <n v="2166.7952"/>
    <n v="614.64589999999998"/>
    <n v="48.202599999999997"/>
    <s v="-69.60"/>
    <n v="61.290500000000009"/>
    <n v="566.44330000000002"/>
  </r>
  <r>
    <s v="HIPP BABY ALMOND W 56 BAG"/>
    <s v=" Swift GMBH"/>
    <x v="56"/>
    <s v="BAGS"/>
    <s v="WITHOUT EXTRA PROTECTCARE INDICATION"/>
    <n v="56"/>
    <n v="1.0826"/>
    <n v="0.79220000000000002"/>
    <n v="0"/>
    <n v="19.760000000000002"/>
    <n v="17.024000000000001"/>
    <n v="0"/>
    <s v="-26.82"/>
    <n v="0.29039999999999999"/>
    <n v="17.024000000000001"/>
  </r>
  <r>
    <s v="HIPP BABY GENTLE CARING W 56 BAG"/>
    <s v=" Swift GMBH"/>
    <x v="56"/>
    <s v="BAGS"/>
    <s v="PH BALANCED"/>
    <n v="56"/>
    <n v="0.44109999999999999"/>
    <n v="0.41260000000000002"/>
    <n v="4.5600000000000002E-2"/>
    <n v="8.4567999999999994"/>
    <n v="6.601"/>
    <n v="0.72929999999999995"/>
    <s v="-6.46"/>
    <n v="2.849999999999997E-2"/>
    <n v="5.8716999999999997"/>
  </r>
  <r>
    <s v="HIPP BABY SANFT FEUCHT TUCHER W 56 BAG"/>
    <s v=" Swift GMBH"/>
    <x v="56"/>
    <s v="BAGS"/>
    <s v="SENSITIVE"/>
    <n v="56"/>
    <n v="2.1700000000000001E-2"/>
    <n v="0"/>
    <n v="0"/>
    <n v="0.48470000000000002"/>
    <n v="0"/>
    <n v="0"/>
    <s v="0.00"/>
    <n v="2.1700000000000001E-2"/>
    <n v="0"/>
  </r>
  <r>
    <s v="HIPP BABYSANFT BIOMANDELEXT.W 2X56+POD."/>
    <s v=" Swift GMBH"/>
    <x v="56"/>
    <s v="BAGS"/>
    <s v="PH BALANCED"/>
    <n v="56"/>
    <n v="1.675"/>
    <n v="2.4634999999999998"/>
    <n v="0.86060000000000003"/>
    <n v="31.331099999999999"/>
    <n v="43.584000000000003"/>
    <n v="15.645899999999999"/>
    <s v="47.07"/>
    <n v="-0.78849999999999976"/>
    <n v="27.938100000000006"/>
  </r>
  <r>
    <s v="HIPP BABYSANFT BIOMANDELEXTR. W 2X56 BAG"/>
    <s v=" Swift GMBH"/>
    <x v="56"/>
    <s v="BAGS"/>
    <s v="PH BALANCED"/>
    <n v="56"/>
    <n v="9.3126999999999995"/>
    <n v="6.4108999999999998"/>
    <n v="5.0708000000000002"/>
    <n v="206.11410000000001"/>
    <n v="126.16"/>
    <n v="101.6622"/>
    <s v="-31.16"/>
    <n v="2.9017999999999997"/>
    <n v="24.497799999999998"/>
  </r>
  <r>
    <s v="HIPP BABYSANFT BIOMANDELEXTRACT W 56 BAG"/>
    <s v=" Swift GMBH"/>
    <x v="56"/>
    <s v="BAGS"/>
    <s v="PH BALANCED"/>
    <n v="56"/>
    <n v="11.1845"/>
    <n v="11.7105"/>
    <n v="3.9420000000000002"/>
    <n v="216.30410000000001"/>
    <n v="238.77709999999999"/>
    <n v="77.523899999999998"/>
    <s v="4.70"/>
    <n v="-0.5259999999999998"/>
    <n v="161.25319999999999"/>
  </r>
  <r>
    <s v="BIONIKE TRIDERM BABY CLEANSING 72 BAG"/>
    <s v=" InsideGlobal"/>
    <x v="57"/>
    <s v="BAGS"/>
    <s v="HYPOALLERGENIC"/>
    <n v="72"/>
    <n v="6.6299999999999998E-2"/>
    <n v="0.12959999999999999"/>
    <n v="7.1499999999999994E-2"/>
    <n v="0.504"/>
    <n v="0.91539999999999999"/>
    <n v="0.52459999999999996"/>
    <s v="95.48"/>
    <n v="-6.3299999999999995E-2"/>
    <n v="0.39080000000000004"/>
  </r>
  <r>
    <s v="WATERWIPES FRUITEXTR.99.9%WATER W 10 BAG"/>
    <s v=" CelticWind Ltd"/>
    <x v="58"/>
    <s v="BAGS"/>
    <s v="WITHOUT EXTRA PROTECTCARE INDICATION"/>
    <n v="10"/>
    <n v="0.61529999999999996"/>
    <n v="0.502"/>
    <n v="4.99E-2"/>
    <n v="4.0616000000000003"/>
    <n v="3.2562000000000002"/>
    <n v="0.25269999999999998"/>
    <s v="-18.41"/>
    <n v="0.11329999999999996"/>
    <n v="3.0035000000000003"/>
  </r>
  <r>
    <s v="WATERWIPES FRUITEXTR.99.9%WATER W 240BAG"/>
    <s v=" CelticWind Ltd"/>
    <x v="58"/>
    <s v="BAGS"/>
    <s v="WITHOUT EXTRA PROTECTCARE INDICATION"/>
    <n v="240"/>
    <n v="18.4224"/>
    <n v="21.849599999999999"/>
    <n v="15.9329"/>
    <n v="154.90440000000001"/>
    <n v="191.65379999999999"/>
    <n v="151.1"/>
    <s v="18.60"/>
    <n v="-3.4271999999999991"/>
    <n v="40.553799999999995"/>
  </r>
  <r>
    <s v="WATERWIPES FRUITEXTR.99.9%WATER W 28 BAG"/>
    <s v=" CelticWind Ltd"/>
    <x v="58"/>
    <s v="BAGS"/>
    <s v="WITHOUT EXTRA PROTECTCARE INDICATION"/>
    <n v="28"/>
    <n v="1.851"/>
    <n v="2.4146999999999998"/>
    <n v="0.80920000000000003"/>
    <n v="10.083500000000001"/>
    <n v="14.928100000000001"/>
    <n v="5.5830000000000002"/>
    <s v="30.45"/>
    <n v="-0.56369999999999987"/>
    <n v="9.3451000000000004"/>
  </r>
  <r>
    <s v="WATERWIPES FRUITEXTR.99.9%WATER W 60 BAG"/>
    <s v=" CelticWind Ltd"/>
    <x v="58"/>
    <s v="BAGS"/>
    <s v="WITHOUT EXTRA PROTECTCARE INDICATION"/>
    <n v="60"/>
    <n v="198.11109999999999"/>
    <n v="233.6309"/>
    <n v="113.3126"/>
    <n v="1569.5084999999999"/>
    <n v="2030.1902"/>
    <n v="989.67420000000004"/>
    <s v="17.93"/>
    <n v="-35.519800000000004"/>
    <n v="1040.5160000000001"/>
  </r>
  <r>
    <s v="WATERWIPES SOAPBERRY99.9%WATER W 60 BAG"/>
    <s v=" CelticWind Ltd"/>
    <x v="58"/>
    <s v="BAGS"/>
    <s v="WITHOUT EXTRA PROTECTCARE INDICATION"/>
    <n v="60"/>
    <n v="1.278"/>
    <n v="13.6012"/>
    <n v="11.1342"/>
    <n v="10.3644"/>
    <n v="118.5029"/>
    <n v="94.131399999999999"/>
    <s v="964.26"/>
    <n v="-12.3232"/>
    <n v="24.371499999999997"/>
  </r>
  <r>
    <s v="PAW PATROL  FreshClean 56 W BAG"/>
    <s v=" JellyHealth"/>
    <x v="59"/>
    <s v="BAGS"/>
    <s v="WITHOUT EXTRA PROTECTCARE INDICATION"/>
    <n v="56"/>
    <n v="0"/>
    <n v="0.2286"/>
    <n v="8.4099999999999994E-2"/>
    <n v="0"/>
    <n v="3.6671999999999998"/>
    <n v="1.3489"/>
    <s v="0.00"/>
    <n v="-0.2286"/>
    <n v="2.3182999999999998"/>
  </r>
  <r>
    <s v="PEPPA PIG BABY MUDDY PUDDLE 56 W BAG"/>
    <s v=" JellyHealth"/>
    <x v="60"/>
    <s v="BAGS"/>
    <s v="WITHOUT EXTRA PROTECTCARE INDICATION"/>
    <n v="56"/>
    <n v="0"/>
    <n v="0.22009999999999999"/>
    <n v="0.1012"/>
    <n v="0"/>
    <n v="3.5211000000000001"/>
    <n v="1.6187"/>
    <s v="0.00"/>
    <n v="-0.22009999999999999"/>
    <n v="1.9024000000000001"/>
  </r>
  <r>
    <s v="JOHNSONS BABY GENTLE ALL OVER W 20 BAG"/>
    <s v=" Thomson &amp; Thomson"/>
    <x v="61"/>
    <s v="BAGS"/>
    <s v="ALCOHOL FREE &amp; HYPOALLERGENIC"/>
    <n v="20"/>
    <n v="0.3851"/>
    <n v="0.10680000000000001"/>
    <n v="0"/>
    <n v="4.9682000000000004"/>
    <n v="1.3105"/>
    <n v="0"/>
    <s v="-72.27"/>
    <n v="0.27829999999999999"/>
    <n v="1.3105"/>
  </r>
  <r>
    <s v="JOHNSONS BAB COT.TOU SEN.W56+BOD+SHG+IGR"/>
    <s v=" Thomson &amp; Thomson"/>
    <x v="61"/>
    <s v="BAGS"/>
    <s v="SENSITIVE"/>
    <n v="56"/>
    <n v="1.0960000000000001"/>
    <n v="0.3664"/>
    <n v="5.7799999999999997E-2"/>
    <n v="13.8332"/>
    <n v="3.4159999999999999"/>
    <n v="0.48"/>
    <s v="-66.57"/>
    <n v="0.72960000000000003"/>
    <n v="2.9359999999999999"/>
  </r>
  <r>
    <s v="JOHNSONS BABY COTTON TOUCH SENS.W 56 BAG"/>
    <s v=" Thomson &amp; Thomson"/>
    <x v="61"/>
    <s v="BAGS"/>
    <s v="SENSITIVE"/>
    <n v="56"/>
    <n v="8.1957000000000004"/>
    <n v="0.14119999999999999"/>
    <n v="1.1000000000000001E-3"/>
    <n v="213.62710000000001"/>
    <n v="2.6021999999999998"/>
    <n v="1.6E-2"/>
    <s v="-98.28"/>
    <n v="8.0545000000000009"/>
    <n v="2.5861999999999998"/>
  </r>
  <r>
    <s v="JOHNSONS BABY GENTLE ALL OVER W 3X56 BAG"/>
    <s v=" Thomson &amp; Thomson"/>
    <x v="61"/>
    <s v="BAGS"/>
    <s v="ALCOHOL FREE &amp; HYPOALLERGENIC"/>
    <n v="56"/>
    <n v="2.8999999999999998E-3"/>
    <n v="0"/>
    <n v="0"/>
    <n v="0.17960000000000001"/>
    <n v="0"/>
    <n v="0"/>
    <s v="0.00"/>
    <n v="2.8999999999999998E-3"/>
    <n v="0"/>
  </r>
  <r>
    <s v="JOHNSONS BABY SILK EXTRACT W 56 BAG"/>
    <s v=" Thomson &amp; Thomson"/>
    <x v="61"/>
    <s v="BAGS"/>
    <s v="WITHOUT EXTRA PROTECTCARE INDICATION"/>
    <n v="56"/>
    <n v="0.22670000000000001"/>
    <n v="0"/>
    <n v="0"/>
    <n v="4.5189000000000004"/>
    <n v="0"/>
    <n v="0"/>
    <s v="0.00"/>
    <n v="0.22670000000000001"/>
    <n v="0"/>
  </r>
  <r>
    <s v="JOHNSONS BABY GENTLE ALL OVER W 72 BAG K"/>
    <s v=" Thomson &amp; Thomson"/>
    <x v="61"/>
    <s v="BAGS"/>
    <s v="ALCOHOL FREE &amp; HYPOALLERGENIC"/>
    <n v="72"/>
    <n v="24.499500000000001"/>
    <n v="1.3658999999999999"/>
    <n v="5.9999999999999995E-4"/>
    <n v="789.96360000000004"/>
    <n v="36.531500000000001"/>
    <n v="2.06E-2"/>
    <s v="-94.42"/>
    <n v="23.133600000000001"/>
    <n v="36.510899999999999"/>
  </r>
  <r>
    <s v="JOHNSONS BABY SENSITIVE ALC.FREE W 72 BA"/>
    <s v=" Thomson &amp; Thomson"/>
    <x v="61"/>
    <s v="BAGS"/>
    <s v="SENSITIVE"/>
    <n v="72"/>
    <n v="0"/>
    <n v="2.8000000000000001E-2"/>
    <n v="0"/>
    <n v="0"/>
    <n v="0.80640000000000001"/>
    <n v="0"/>
    <s v="0.00"/>
    <n v="-2.8000000000000001E-2"/>
    <n v="0.80640000000000001"/>
  </r>
  <r>
    <s v="MAIA BABY PURE&amp;SENSITIVE PH5.5 W 72 BAG"/>
    <s v=" KalesCo"/>
    <x v="62"/>
    <s v="BAGS"/>
    <s v="PH BALANCED"/>
    <n v="72"/>
    <n v="0"/>
    <n v="10.2052"/>
    <n v="14.4321"/>
    <n v="0"/>
    <n v="569.2527"/>
    <n v="716.4248"/>
    <s v="0.00"/>
    <n v="-10.2052"/>
    <n v="-147.1721"/>
  </r>
  <r>
    <s v="KRISPA BABY CAMOMILE W 15 BAG"/>
    <s v=" CapPlus"/>
    <x v="63"/>
    <s v="BAGS"/>
    <s v="WITHOUT EXTRA PROTECTCARE INDICATION"/>
    <n v="15"/>
    <n v="1.1900000000000001E-2"/>
    <n v="0"/>
    <n v="0"/>
    <n v="0.14000000000000001"/>
    <n v="0"/>
    <n v="0"/>
    <s v="0.00"/>
    <n v="1.1900000000000001E-2"/>
    <n v="0"/>
  </r>
  <r>
    <s v="FRESH'N SOFT WATER&amp;COTTON W 3X40 BAG"/>
    <s v=" BrothersFlyProducts SAN A.S."/>
    <x v="64"/>
    <s v="BAGS"/>
    <s v="PH BALANCED"/>
    <n v="40"/>
    <n v="0"/>
    <n v="0"/>
    <n v="0.69599999999999995"/>
    <n v="0"/>
    <n v="0"/>
    <n v="11.551500000000001"/>
    <s v="0.00"/>
    <n v="0"/>
    <n v="-11.551500000000001"/>
  </r>
  <r>
    <s v="FRESH'N SOFT CLASSIC PH5.5 W 90 BAG"/>
    <s v=" BrothersFlyProducts SAN A.S."/>
    <x v="64"/>
    <s v="BAGS"/>
    <s v="PH BALANCED"/>
    <n v="90"/>
    <n v="0.33289999999999997"/>
    <n v="2.7199999999999998E-2"/>
    <n v="0.74419999999999997"/>
    <n v="16.585699999999999"/>
    <n v="2.2242999999999999"/>
    <n v="24.0091"/>
    <s v="-91.83"/>
    <n v="0.30569999999999997"/>
    <n v="-21.784800000000001"/>
  </r>
  <r>
    <s v="RENKLY JUMBO CHAMOMILE 120 W BAG KAPAK"/>
    <s v=" Snowball Cologne"/>
    <x v="65"/>
    <s v="BAGS"/>
    <s v="PH BALANCED"/>
    <n v="120"/>
    <n v="0"/>
    <n v="3.2099999999999997E-2"/>
    <n v="0.19070000000000001"/>
    <n v="0"/>
    <n v="1.7567999999999999"/>
    <n v="7.8956"/>
    <s v="0.00"/>
    <n v="-3.2099999999999997E-2"/>
    <n v="-6.1387999999999998"/>
  </r>
  <r>
    <s v="RENKLY BABY ALC.FREE W 70 BAG"/>
    <s v=" Snowball Cologne"/>
    <x v="65"/>
    <s v="BAGS"/>
    <s v="ALCOHOL FREE"/>
    <n v="70"/>
    <n v="0"/>
    <n v="0"/>
    <n v="2.2185000000000001"/>
    <n v="0"/>
    <n v="0"/>
    <n v="128.51750000000001"/>
    <s v="0.00"/>
    <n v="0"/>
    <n v="-128.51750000000001"/>
  </r>
  <r>
    <s v="RENKLY BABY ALOE VERA 70 W BAG"/>
    <s v=" Snowball Cologne"/>
    <x v="65"/>
    <s v="BAGS"/>
    <s v="PH BALANCED"/>
    <n v="70"/>
    <n v="0"/>
    <n v="7.0191999999999997"/>
    <n v="7.8216999999999999"/>
    <n v="0"/>
    <n v="471.142"/>
    <n v="503.7824"/>
    <s v="0.00"/>
    <n v="-7.0191999999999997"/>
    <n v="-32.6404"/>
  </r>
  <r>
    <s v="RENKLI BABY ALC.FREE PH5.5 W 72 BAG KAPA"/>
    <s v=" Snowball Cologne"/>
    <x v="65"/>
    <s v="BAGS"/>
    <s v="PH BALANCED"/>
    <n v="72"/>
    <n v="8.5007999999999999"/>
    <n v="1.8512999999999999"/>
    <n v="0.35020000000000001"/>
    <n v="288.41750000000002"/>
    <n v="66.691299999999998"/>
    <n v="13.4161"/>
    <s v="-78.22"/>
    <n v="6.6494999999999997"/>
    <n v="53.275199999999998"/>
  </r>
  <r>
    <s v="RENKLY BABY 72 W BAG"/>
    <s v=" Snowball Cologne"/>
    <x v="65"/>
    <s v="BAGS"/>
    <s v="PH BALANCED"/>
    <n v="72"/>
    <n v="32.951099999999997"/>
    <n v="14.947100000000001"/>
    <n v="4.2103999999999999"/>
    <n v="1259.2874999999999"/>
    <n v="556.85670000000005"/>
    <n v="163.69149999999999"/>
    <s v="-54.64"/>
    <n v="18.003999999999998"/>
    <n v="393.16520000000003"/>
  </r>
  <r>
    <s v="HUGGIES NATURAL CARE ALOE VERA W 56 BAG"/>
    <s v=" Kimberly Stone"/>
    <x v="66"/>
    <s v="BAGS"/>
    <s v="ALCOHOL FREE"/>
    <n v="56"/>
    <n v="53.822000000000003"/>
    <n v="66.983199999999997"/>
    <n v="42.143000000000001"/>
    <n v="1325.5655999999999"/>
    <n v="1594.76"/>
    <n v="1015.3249"/>
    <s v="24.45"/>
    <n v="-13.161199999999994"/>
    <n v="579.43510000000003"/>
  </r>
  <r>
    <s v="HUGGIES PURE COTTON WOOL&amp;WATER 56 W BAG"/>
    <s v=" Kimberly Stone"/>
    <x v="66"/>
    <s v="BAGS"/>
    <s v="ALCOHOL FREE"/>
    <n v="56"/>
    <n v="81.760300000000001"/>
    <n v="83.135000000000005"/>
    <n v="53.412599999999998"/>
    <n v="1959.0420999999999"/>
    <n v="1973.6881000000001"/>
    <n v="1284.8007"/>
    <s v="1.68"/>
    <n v="-1.3747000000000043"/>
    <n v="688.88740000000007"/>
  </r>
  <r>
    <s v="HUGGIES SOFT SKIN VIT E 56 BAG"/>
    <s v=" Kimberly Stone"/>
    <x v="66"/>
    <s v="BAGS"/>
    <s v="ALCOHOL FREE"/>
    <n v="56"/>
    <n v="24.3629"/>
    <n v="18.871200000000002"/>
    <n v="0.95489999999999997"/>
    <n v="571.42309999999998"/>
    <n v="430.0342"/>
    <n v="21.356300000000001"/>
    <s v="-22.54"/>
    <n v="5.491699999999998"/>
    <n v="408.67790000000002"/>
  </r>
  <r>
    <s v="HUGGIES UNISTAR LINGETTES 56 W BAG"/>
    <s v=" Kimberly Stone"/>
    <x v="66"/>
    <s v="BAGS"/>
    <s v="WITHOUT EXTRA PROTECTCARE INDICATION"/>
    <n v="56"/>
    <n v="6.2572999999999999"/>
    <n v="18.031600000000001"/>
    <n v="4.2451999999999996"/>
    <n v="140.29249999999999"/>
    <n v="398.21929999999998"/>
    <n v="95.220100000000002"/>
    <s v="188.17"/>
    <n v="-11.7743"/>
    <n v="302.99919999999997"/>
  </r>
  <r>
    <s v="HUGGIES ALOE+VIT E W 64 BAG"/>
    <s v=" Kimberly Stone"/>
    <x v="66"/>
    <s v="BAGS"/>
    <s v="PH BALANCED"/>
    <n v="64"/>
    <n v="0"/>
    <n v="0"/>
    <n v="0.16520000000000001"/>
    <n v="0"/>
    <n v="0"/>
    <n v="4.4053000000000004"/>
    <s v="0.00"/>
    <n v="0"/>
    <n v="-4.4053000000000004"/>
  </r>
  <r>
    <s v="HUGGIES BABY UNISTAR W 64 BAG"/>
    <s v=" Kimberly Stone"/>
    <x v="66"/>
    <s v="BAGS"/>
    <s v="WITHOUT EXTRA PROTECTCARE INDICATION"/>
    <n v="64"/>
    <n v="2.9600000000000001E-2"/>
    <n v="0"/>
    <n v="0"/>
    <n v="0.8246"/>
    <n v="0"/>
    <n v="0"/>
    <s v="0.00"/>
    <n v="2.9600000000000001E-2"/>
    <n v="0"/>
  </r>
  <r>
    <s v="HUGGIES PURE 99% WATER 72 W BAG"/>
    <s v=" Kimberly Stone"/>
    <x v="66"/>
    <s v="BAGS"/>
    <s v="WITHOUT EXTRA PROTECTCARE INDICATION"/>
    <n v="72"/>
    <n v="2.3472"/>
    <n v="0.8044"/>
    <n v="0"/>
    <n v="54.641800000000003"/>
    <n v="24.183599999999998"/>
    <n v="0"/>
    <s v="-65.73"/>
    <n v="1.5427999999999999"/>
    <n v="24.183599999999998"/>
  </r>
  <r>
    <s v="KOMILI BABY SOFT ALC.FREE W 70 BAG"/>
    <s v=" OliveTree S.A."/>
    <x v="67"/>
    <s v="BAGS"/>
    <s v="ALCOHOL FREE"/>
    <n v="70"/>
    <n v="5.9740000000000002"/>
    <n v="0"/>
    <n v="0"/>
    <n v="416.80889999999999"/>
    <n v="0"/>
    <n v="0"/>
    <s v="0.00"/>
    <n v="5.9740000000000002"/>
    <n v="0"/>
  </r>
  <r>
    <s v="KOMILI BABY COTTON PH5.5 W 80 BAG"/>
    <s v=" OliveTree S.A."/>
    <x v="67"/>
    <s v="BAGS"/>
    <s v="PH BALANCED"/>
    <n v="80"/>
    <n v="0.1293"/>
    <n v="8.2299999999999998E-2"/>
    <n v="0"/>
    <n v="5.4459999999999997"/>
    <n v="3.4649000000000001"/>
    <n v="0"/>
    <s v="-36.35"/>
    <n v="4.7E-2"/>
    <n v="3.4649000000000001"/>
  </r>
  <r>
    <s v="TANGO BABY SOFT VIT E ALC.FREE 72BR BAG"/>
    <s v=" CosmicChem"/>
    <x v="68"/>
    <s v="BAGS"/>
    <s v="ALCOHOL FREE"/>
    <n v="72"/>
    <n v="11.181699999999999"/>
    <n v="15.1816"/>
    <n v="9.6165000000000003"/>
    <n v="586.38080000000002"/>
    <n v="752.94479999999999"/>
    <n v="438.76389999999998"/>
    <s v="35.77"/>
    <n v="-3.9999000000000002"/>
    <n v="314.18090000000001"/>
  </r>
  <r>
    <s v="MUSTELA BEBE CLEANSING 25 W BAG"/>
    <s v=" LabExpand"/>
    <x v="69"/>
    <s v="BAGS"/>
    <s v="HYPOALLERGENIC"/>
    <n v="25"/>
    <n v="8.2699999999999996E-2"/>
    <n v="4.5199999999999997E-2"/>
    <n v="5.4999999999999997E-3"/>
    <n v="0.35360000000000003"/>
    <n v="0.2"/>
    <n v="2.5000000000000001E-2"/>
    <s v="-45.34"/>
    <n v="3.7499999999999999E-2"/>
    <n v="0.17500000000000002"/>
  </r>
  <r>
    <s v="MUSTELA BEBE CLEANSING 25 W NP KAPAK"/>
    <s v=" LabExpand"/>
    <x v="69"/>
    <s v="BAGS"/>
    <s v="HYPOALLERGENIC"/>
    <n v="25"/>
    <n v="2.0510000000000002"/>
    <n v="2.5941999999999998"/>
    <n v="0.76219999999999999"/>
    <n v="8.6088000000000005"/>
    <n v="11.446400000000001"/>
    <n v="3.6349999999999998"/>
    <s v="26.48"/>
    <n v="-0.54319999999999968"/>
    <n v="7.8114000000000008"/>
  </r>
  <r>
    <s v="MUSTELA BEBE STELATOPIA W 50 BAG KAPAK"/>
    <s v=" LabExpand"/>
    <x v="69"/>
    <s v="BAGS"/>
    <s v="HYPOALLERGENIC"/>
    <n v="50"/>
    <n v="10.297499999999999"/>
    <n v="4.8240999999999996"/>
    <n v="4.976"/>
    <n v="49.665700000000001"/>
    <n v="27.7622"/>
    <n v="22.308599999999998"/>
    <s v="-53.15"/>
    <n v="5.4733999999999998"/>
    <n v="5.4536000000000016"/>
  </r>
  <r>
    <s v="MUSTELABEBE STELATOPIAW50KAP+BOD+BOD+BOD"/>
    <s v=" LabExpand"/>
    <x v="69"/>
    <s v="BAGS"/>
    <s v="HYPOALLERGENIC"/>
    <n v="50"/>
    <n v="0.2089"/>
    <n v="0"/>
    <n v="0"/>
    <n v="1.25"/>
    <n v="0"/>
    <n v="0"/>
    <s v="0.00"/>
    <n v="0.2089"/>
    <n v="0"/>
  </r>
  <r>
    <s v="MUSTELA BEBE CLEANSING 60 W BAG"/>
    <s v=" LabExpand"/>
    <x v="69"/>
    <s v="BAGS"/>
    <s v="WITHOUT EXTRA PROTECTCARE INDICATION"/>
    <n v="60"/>
    <n v="0"/>
    <n v="0"/>
    <n v="0.18790000000000001"/>
    <n v="0"/>
    <n v="0"/>
    <n v="1.0885"/>
    <s v="0.00"/>
    <n v="0"/>
    <n v="-1.0885"/>
  </r>
  <r>
    <s v="MUSTELA BEBE CLEANSING AVOCADO 70 W BAG"/>
    <s v=" LabExpand"/>
    <x v="69"/>
    <s v="BAGS"/>
    <s v="WITHOUT EXTRA PROTECTCARE INDICATION"/>
    <n v="70"/>
    <n v="1.4366000000000001"/>
    <n v="2.8525"/>
    <n v="1.1071"/>
    <n v="10.09"/>
    <n v="20.329999999999998"/>
    <n v="7.64"/>
    <s v="98.56"/>
    <n v="-1.4158999999999999"/>
    <n v="12.689999999999998"/>
  </r>
  <r>
    <s v="MUSTELA BEBE CLEANSING W 70 BAG KAPAK"/>
    <s v=" LabExpand"/>
    <x v="69"/>
    <s v="BAGS"/>
    <s v="HYPOALLERGENIC"/>
    <n v="70"/>
    <n v="6.5038999999999998"/>
    <n v="6.5046999999999997"/>
    <n v="1.2238"/>
    <n v="46.08"/>
    <n v="47.101700000000001"/>
    <n v="9.65"/>
    <s v="0.01"/>
    <n v="-7.9999999999991189E-4"/>
    <n v="37.451700000000002"/>
  </r>
  <r>
    <s v="MUSTELA BEBE SOOTHING ALOE VERA 70 W BAG"/>
    <s v=" LabExpand"/>
    <x v="69"/>
    <s v="BAGS"/>
    <s v="ALCOHOL FREE"/>
    <n v="70"/>
    <n v="0"/>
    <n v="6.5199999999999994E-2"/>
    <n v="0"/>
    <n v="0"/>
    <n v="0.35370000000000001"/>
    <n v="0"/>
    <s v="0.00"/>
    <n v="-6.5199999999999994E-2"/>
    <n v="0.35370000000000001"/>
  </r>
  <r>
    <s v="LANSINOH BABY ALC.FREE W 80 BAG KAPAK"/>
    <s v=" LansinLab Inc"/>
    <x v="70"/>
    <s v="BAGS"/>
    <s v="ALCOHOL FREE"/>
    <n v="80"/>
    <n v="7.0000000000000001E-3"/>
    <n v="0"/>
    <n v="0"/>
    <n v="0.08"/>
    <n v="0"/>
    <n v="0"/>
    <s v="0.00"/>
    <n v="7.0000000000000001E-3"/>
    <n v="0"/>
  </r>
  <r>
    <s v="LARA BABY SOFT ALOE VERA W 100 BAG KAPAK"/>
    <s v=" Lara Beauty"/>
    <x v="71"/>
    <s v="BAGS"/>
    <s v="ALCOHOL FREE"/>
    <n v="100"/>
    <n v="0"/>
    <n v="0"/>
    <n v="0.80289999999999995"/>
    <n v="0"/>
    <n v="0"/>
    <n v="36.833599999999997"/>
    <s v="0.00"/>
    <n v="0"/>
    <n v="-36.833599999999997"/>
  </r>
  <r>
    <s v="LARA BABY SOFT CAMOMILE W 100 BAG KAPAK"/>
    <s v=" Lara Beauty"/>
    <x v="71"/>
    <s v="BAGS"/>
    <s v="PH BALANCED"/>
    <n v="100"/>
    <n v="9.9892000000000003"/>
    <n v="8.1153999999999993"/>
    <n v="3.5836999999999999"/>
    <n v="492.51530000000002"/>
    <n v="366.96510000000001"/>
    <n v="145.6557"/>
    <s v="-18.76"/>
    <n v="1.873800000000001"/>
    <n v="221.30940000000001"/>
  </r>
  <r>
    <s v="LARA BABY SOFT GERBERA DAISY W 100 BAG"/>
    <s v=" Lara Beauty"/>
    <x v="71"/>
    <s v="BAGS"/>
    <s v="ALCOHOL FREE"/>
    <n v="100"/>
    <n v="2.3199999999999998E-2"/>
    <n v="2.375"/>
    <n v="2.0299"/>
    <n v="1.054"/>
    <n v="113.97580000000001"/>
    <n v="89.836200000000005"/>
    <s v="10137.07"/>
    <n v="-2.3517999999999999"/>
    <n v="24.139600000000002"/>
  </r>
  <r>
    <s v="LARA BABY SOFT LAVENDER W 100 BAG KAPAK"/>
    <s v=" Lara Beauty"/>
    <x v="71"/>
    <s v="BAGS"/>
    <s v="PH BALANCED"/>
    <n v="100"/>
    <n v="12.8912"/>
    <n v="14.945399999999999"/>
    <n v="2.4279000000000002"/>
    <n v="607.44449999999995"/>
    <n v="678.69550000000004"/>
    <n v="103.8368"/>
    <s v="15.93"/>
    <n v="-2.0541999999999998"/>
    <n v="574.8587"/>
  </r>
  <r>
    <s v="LARA BABY SOFT WILD ROSE W 100 BAG KAPAK"/>
    <s v=" Lara Beauty"/>
    <x v="71"/>
    <s v="BAGS"/>
    <s v="WITHOUT EXTRA PROTECTCARE INDICATION"/>
    <n v="100"/>
    <n v="0"/>
    <n v="0.01"/>
    <n v="1.5183"/>
    <n v="0"/>
    <n v="0.48130000000000001"/>
    <n v="68.4452"/>
    <s v="0.00"/>
    <n v="-0.01"/>
    <n v="-67.963899999999995"/>
  </r>
  <r>
    <s v="LARA BABYSOFT LEMON&amp;GRAPEFRUIT W 100 BAG"/>
    <s v=" Lara Beauty"/>
    <x v="71"/>
    <s v="BAGS"/>
    <s v="ALCOHOL FREE"/>
    <n v="100"/>
    <n v="32.355400000000003"/>
    <n v="38.555399999999999"/>
    <n v="28.667999999999999"/>
    <n v="1339.7692"/>
    <n v="1517.8848"/>
    <n v="1147.3356000000001"/>
    <s v="19.16"/>
    <n v="-6.1999999999999957"/>
    <n v="370.54919999999993"/>
  </r>
  <r>
    <s v="LARA BABY SOFT ALOE VERA W 120 BAG KAPAK"/>
    <s v=" Lara Beauty"/>
    <x v="71"/>
    <s v="BAGS"/>
    <s v="PH BALANCED"/>
    <n v="120"/>
    <n v="39.0503"/>
    <n v="53.6008"/>
    <n v="45.671900000000001"/>
    <n v="2028.7261000000001"/>
    <n v="2727.4971999999998"/>
    <n v="2409.5587999999998"/>
    <s v="37.26"/>
    <n v="-14.5505"/>
    <n v="317.9384"/>
  </r>
  <r>
    <s v="LARA BABY SOFT CAMOMILE BREEZE W 120 BAG"/>
    <s v=" Lara Beauty"/>
    <x v="71"/>
    <s v="BAGS"/>
    <s v="ALCOHOL FREE"/>
    <n v="120"/>
    <n v="18.061"/>
    <n v="20.3689"/>
    <n v="25.3782"/>
    <n v="997.27200000000005"/>
    <n v="1129.9784999999999"/>
    <n v="1401.0871999999999"/>
    <s v="12.78"/>
    <n v="-2.3079000000000001"/>
    <n v="-271.1087"/>
  </r>
  <r>
    <s v="LARA BABY SOFT CAMOMILE W 120 BAG KAPAK"/>
    <s v=" Lara Beauty"/>
    <x v="71"/>
    <s v="BAGS"/>
    <s v="PH BALANCED"/>
    <n v="120"/>
    <n v="60.256900000000002"/>
    <n v="59.171300000000002"/>
    <n v="46.391500000000001"/>
    <n v="3003.9076"/>
    <n v="2862.6754999999998"/>
    <n v="2309.9086000000002"/>
    <s v="-1.80"/>
    <n v="1.0855999999999995"/>
    <n v="552.76689999999962"/>
  </r>
  <r>
    <s v="LARA BABY SOFT GERBER W 120 BAG KAPAK"/>
    <s v=" Lara Beauty"/>
    <x v="71"/>
    <s v="BAGS"/>
    <s v="PH BALANCED"/>
    <n v="120"/>
    <n v="20.0168"/>
    <n v="19.4117"/>
    <n v="16.676400000000001"/>
    <n v="1086.6414"/>
    <n v="1089.1328000000001"/>
    <n v="913.75469999999996"/>
    <s v="-3.02"/>
    <n v="0.60510000000000019"/>
    <n v="175.37810000000013"/>
  </r>
  <r>
    <s v="LARA BABY SOFT LAVENDER W 120 BAG KAPAK"/>
    <s v=" Lara Beauty"/>
    <x v="71"/>
    <s v="BAGS"/>
    <s v="PH BALANCED"/>
    <n v="120"/>
    <n v="15.4658"/>
    <n v="23.898299999999999"/>
    <n v="20.8841"/>
    <n v="835.59469999999999"/>
    <n v="1304.8905999999999"/>
    <n v="1122.8086000000001"/>
    <s v="54.52"/>
    <n v="-8.4324999999999992"/>
    <n v="182.08199999999988"/>
  </r>
  <r>
    <s v="LARA BABY SOFT WILD ROSE W 120 BAG KAPAK"/>
    <s v=" Lara Beauty"/>
    <x v="71"/>
    <s v="BAGS"/>
    <s v="WITHOUT EXTRA PROTECTCARE INDICATION"/>
    <n v="120"/>
    <n v="17.192699999999999"/>
    <n v="14.837400000000001"/>
    <n v="10.0755"/>
    <n v="845.18690000000004"/>
    <n v="818.97209999999995"/>
    <n v="554.23329999999999"/>
    <s v="-13.70"/>
    <n v="2.355299999999998"/>
    <n v="264.73879999999997"/>
  </r>
  <r>
    <s v="LARA BABYSOFT LEMON&amp;GRAPEFRUIT W 120 BAG"/>
    <s v=" Lara Beauty"/>
    <x v="71"/>
    <s v="BAGS"/>
    <s v="ALCOHOL FREE"/>
    <n v="120"/>
    <n v="12.4558"/>
    <n v="19.5045"/>
    <n v="19.680399999999999"/>
    <n v="695.70420000000001"/>
    <n v="1080.8305"/>
    <n v="1068.2409"/>
    <s v="56.59"/>
    <n v="-7.0487000000000002"/>
    <n v="12.589600000000019"/>
  </r>
  <r>
    <s v="LARA BABYSOFT PREMIUM ALC.FREE W 120 BAG"/>
    <s v=" Lara Beauty"/>
    <x v="71"/>
    <s v="BAGS"/>
    <s v="ALCOHOL FREE"/>
    <n v="120"/>
    <n v="29.7578"/>
    <n v="42.059199999999997"/>
    <n v="37.9373"/>
    <n v="1513.1635000000001"/>
    <n v="2139.8314999999998"/>
    <n v="1997.7666999999999"/>
    <s v="41.34"/>
    <n v="-12.301399999999997"/>
    <n v="142.06479999999988"/>
  </r>
  <r>
    <s v="LARA BABY SOFT&amp;FRESH PH5.5 W 20 BAG"/>
    <s v=" Lara Beauty"/>
    <x v="71"/>
    <s v="BAGS"/>
    <s v="PH BALANCED"/>
    <n v="20"/>
    <n v="12.4033"/>
    <n v="7.0781999999999998"/>
    <n v="1.7199"/>
    <n v="294.48759999999999"/>
    <n v="150.97989999999999"/>
    <n v="36.068199999999997"/>
    <s v="-42.93"/>
    <n v="5.3250999999999999"/>
    <n v="114.9117"/>
  </r>
  <r>
    <s v="LARA BABY SOFT ALOE VERA W 40 BAG"/>
    <s v=" Lara Beauty"/>
    <x v="71"/>
    <s v="BAGS"/>
    <s v="ALCOHOL FREE"/>
    <n v="40"/>
    <n v="1.6268"/>
    <n v="0"/>
    <n v="0"/>
    <n v="65.1297"/>
    <n v="0"/>
    <n v="0"/>
    <s v="0.00"/>
    <n v="1.6268"/>
    <n v="0"/>
  </r>
  <r>
    <s v="LARA BABY SOFT VIT E&amp;PRO VIT B5 W 40 BAG"/>
    <s v=" Lara Beauty"/>
    <x v="71"/>
    <s v="BAGS"/>
    <s v="ALCOHOL FREE"/>
    <n v="40"/>
    <n v="2.5358999999999998"/>
    <n v="0"/>
    <n v="0"/>
    <n v="101.7274"/>
    <n v="0"/>
    <n v="0"/>
    <s v="0.00"/>
    <n v="2.5358999999999998"/>
    <n v="0"/>
  </r>
  <r>
    <s v="LARA CARE BABY 99%WATER PREBIOTIC W 60"/>
    <s v=" Lara Beauty"/>
    <x v="71"/>
    <s v="BAGS"/>
    <s v="WITHOUT EXTRA PROTECTCARE INDICATION"/>
    <n v="60"/>
    <n v="0"/>
    <n v="0"/>
    <n v="3.6318999999999999"/>
    <n v="0"/>
    <n v="0"/>
    <n v="71.160700000000006"/>
    <s v="0.00"/>
    <n v="0"/>
    <n v="-71.160700000000006"/>
  </r>
  <r>
    <s v="LARA BABY FRESH W 72 BAG/KAPACHE"/>
    <s v=" Lara Beauty"/>
    <x v="71"/>
    <s v="BAGS"/>
    <s v="WITHOUT EXTRA PROTECTCARE INDICATION"/>
    <n v="72"/>
    <n v="17.9986"/>
    <n v="13.0489"/>
    <n v="10.643000000000001"/>
    <n v="650.62580000000003"/>
    <n v="424.79559999999998"/>
    <n v="323.3997"/>
    <s v="-27.50"/>
    <n v="4.9497"/>
    <n v="101.39589999999998"/>
  </r>
  <r>
    <s v="LARA BABY SENSITIVE PH5.5 W 72 BAG"/>
    <s v=" Lara Beauty"/>
    <x v="71"/>
    <s v="BAGS"/>
    <s v="SENSITIVE"/>
    <n v="72"/>
    <n v="18.099399999999999"/>
    <n v="12.3561"/>
    <n v="12.3432"/>
    <n v="1018.4675999999999"/>
    <n v="683.55870000000004"/>
    <n v="606.59050000000002"/>
    <s v="-31.73"/>
    <n v="5.7432999999999996"/>
    <n v="76.968200000000024"/>
  </r>
  <r>
    <s v="LARA BABY SOFT CAMOMILE W 72 BAG/KAPACHE"/>
    <s v=" Lara Beauty"/>
    <x v="71"/>
    <s v="BAGS"/>
    <s v="WITHOUT EXTRA PROTECTCARE INDICATION"/>
    <n v="72"/>
    <n v="13.9643"/>
    <n v="11.9328"/>
    <n v="7.4202000000000004"/>
    <n v="510.25119999999998"/>
    <n v="382.31479999999999"/>
    <n v="215.15559999999999"/>
    <s v="-14.55"/>
    <n v="2.0314999999999994"/>
    <n v="167.1592"/>
  </r>
  <r>
    <s v="LARA BABY SOFT PH5.5 W 72 BAG"/>
    <s v=" Lara Beauty"/>
    <x v="71"/>
    <s v="BAGS"/>
    <s v="PH BALANCED"/>
    <n v="72"/>
    <n v="0"/>
    <n v="0.56559999999999999"/>
    <n v="0.19719999999999999"/>
    <n v="0"/>
    <n v="6.4855"/>
    <n v="8.6998999999999995"/>
    <s v="0.00"/>
    <n v="-0.56559999999999999"/>
    <n v="-2.2143999999999995"/>
  </r>
  <r>
    <s v="LARA BABY SOFT PH5.5 W 72 BAG KAPAK"/>
    <s v=" Lara Beauty"/>
    <x v="71"/>
    <s v="BAGS"/>
    <s v="PH BALANCED"/>
    <n v="72"/>
    <n v="11.936500000000001"/>
    <n v="11.3424"/>
    <n v="2.8279999999999998"/>
    <n v="494.98500000000001"/>
    <n v="456.52679999999998"/>
    <n v="127.90179999999999"/>
    <s v="-4.98"/>
    <n v="0.59410000000000096"/>
    <n v="328.625"/>
  </r>
  <r>
    <s v="LARA BABY SOFT VIT E&amp;PRO VIT B5 W 72 BAG"/>
    <s v=" Lara Beauty"/>
    <x v="71"/>
    <s v="BAGS"/>
    <s v="ALCOHOL FREE"/>
    <n v="72"/>
    <n v="16.799600000000002"/>
    <n v="11.79"/>
    <n v="3.1292"/>
    <n v="633.09360000000004"/>
    <n v="491.60489999999999"/>
    <n v="123.1259"/>
    <s v="-29.82"/>
    <n v="5.0096000000000025"/>
    <n v="368.47899999999998"/>
  </r>
  <r>
    <s v="LARA BABY SOFT&amp;FRESH W 72 BAG"/>
    <s v=" Lara Beauty"/>
    <x v="71"/>
    <s v="BAGS"/>
    <s v="PH BALANCED"/>
    <n v="72"/>
    <n v="15.0557"/>
    <n v="9.7439"/>
    <n v="7.3936000000000002"/>
    <n v="945.80409999999995"/>
    <n v="583.28309999999999"/>
    <n v="424.78879999999998"/>
    <s v="-35.28"/>
    <n v="5.3117999999999999"/>
    <n v="158.49430000000001"/>
  </r>
  <r>
    <s v="LARA BABY SPECIAL FORMULA VIT E W 72 BAG"/>
    <s v=" Lara Beauty"/>
    <x v="71"/>
    <s v="BAGS"/>
    <s v="PH BALANCED"/>
    <n v="72"/>
    <n v="2.5228000000000002"/>
    <n v="0"/>
    <n v="0"/>
    <n v="102.04300000000001"/>
    <n v="0"/>
    <n v="0"/>
    <s v="0.00"/>
    <n v="2.5228000000000002"/>
    <n v="0"/>
  </r>
  <r>
    <s v="LARA BABY SOFT ALOE VERA W 80 BAG KAPAK"/>
    <s v=" Lara Beauty"/>
    <x v="71"/>
    <s v="BAGS"/>
    <s v="ALCOHOL FREE"/>
    <n v="80"/>
    <n v="5.8501000000000003"/>
    <n v="3.1604999999999999"/>
    <n v="1.1102000000000001"/>
    <n v="279.7971"/>
    <n v="133.69110000000001"/>
    <n v="49.716799999999999"/>
    <s v="-45.98"/>
    <n v="2.6896000000000004"/>
    <n v="83.974299999999999"/>
  </r>
  <r>
    <s v="LARA BABY SOFT WILD ROSE W 80 BAG KAPAK"/>
    <s v=" Lara Beauty"/>
    <x v="71"/>
    <s v="BAGS"/>
    <s v="WITHOUT EXTRA PROTECTCARE INDICATION"/>
    <n v="80"/>
    <n v="3.5649999999999999"/>
    <n v="3.9624000000000001"/>
    <n v="3.0468999999999999"/>
    <n v="186.07509999999999"/>
    <n v="188.92570000000001"/>
    <n v="146.31370000000001"/>
    <s v="11.15"/>
    <n v="-0.3974000000000002"/>
    <n v="42.611999999999995"/>
  </r>
  <r>
    <s v="LARA BABYSOFT CAMOMILEBREEZ.W 80 BAG KAP"/>
    <s v=" Lara Beauty"/>
    <x v="71"/>
    <s v="BAGS"/>
    <s v="ALCOHOL FREE"/>
    <n v="80"/>
    <n v="4.5880999999999998"/>
    <n v="5.0932000000000004"/>
    <n v="5.0259"/>
    <n v="237.0685"/>
    <n v="259.80410000000001"/>
    <n v="248.8639"/>
    <s v="11.01"/>
    <n v="-0.50510000000000055"/>
    <n v="10.940200000000004"/>
  </r>
  <r>
    <s v="LARA BABY SOFT EXTRA W 96 BAG/KAPACHE"/>
    <s v=" Lara Beauty"/>
    <x v="71"/>
    <s v="BAGS"/>
    <s v="WITHOUT EXTRA PROTECTCARE INDICATION"/>
    <n v="96"/>
    <n v="0"/>
    <n v="7.0000000000000001E-3"/>
    <n v="0"/>
    <n v="0"/>
    <n v="0.32779999999999998"/>
    <n v="0"/>
    <s v="0.00"/>
    <n v="-7.0000000000000001E-3"/>
    <n v="0.32779999999999998"/>
  </r>
  <r>
    <s v="PUFY FRESH GERBERA PH5.5 W 120 BAG"/>
    <s v=" Lara Beauty"/>
    <x v="72"/>
    <s v="BAGS"/>
    <s v="PH BALANCED"/>
    <n v="120"/>
    <n v="3.0200000000000001E-2"/>
    <n v="2.0104000000000002"/>
    <n v="1.0045999999999999"/>
    <n v="1.4571000000000001"/>
    <n v="118.0438"/>
    <n v="56.873399999999997"/>
    <s v="6556.95"/>
    <n v="-1.9802000000000002"/>
    <n v="61.170400000000008"/>
  </r>
  <r>
    <s v="TOP BLITZ CREAM VIT E W 72 BAG"/>
    <s v=" Lara Beauty"/>
    <x v="73"/>
    <s v="BAGS"/>
    <s v="WITHOUT EXTRA PROTECTCARE INDICATION"/>
    <n v="72"/>
    <n v="0.1913"/>
    <n v="0.55200000000000005"/>
    <n v="4.3700000000000003E-2"/>
    <n v="6.9211999999999998"/>
    <n v="19.9695"/>
    <n v="1.2094"/>
    <s v="188.55"/>
    <n v="-0.36070000000000002"/>
    <n v="18.760100000000001"/>
  </r>
  <r>
    <s v="CONFY BABY PH5.5 W 40 BAG"/>
    <s v=" LeaderHealthFood"/>
    <x v="74"/>
    <s v="BAGS"/>
    <s v="PH BALANCED"/>
    <n v="40"/>
    <n v="2.6700000000000002E-2"/>
    <n v="6.6E-3"/>
    <n v="0"/>
    <n v="1.3361000000000001"/>
    <n v="0.32919999999999999"/>
    <n v="0"/>
    <s v="-75.28"/>
    <n v="2.01E-2"/>
    <n v="0.32919999999999999"/>
  </r>
  <r>
    <s v="CONFY BABY SENSITIVE W 90 BAG"/>
    <s v=" LeaderHealthFood"/>
    <x v="74"/>
    <s v="BAGS"/>
    <s v="SENSITIVE"/>
    <n v="90"/>
    <n v="6.93E-2"/>
    <n v="0.19889999999999999"/>
    <n v="0"/>
    <n v="3.0247000000000002"/>
    <n v="8.6912000000000003"/>
    <n v="0"/>
    <s v="187.01"/>
    <n v="-0.12959999999999999"/>
    <n v="8.6912000000000003"/>
  </r>
  <r>
    <s v="CONFY BABY SENSITIVE W 90 BAG PINK"/>
    <s v=" LeaderHealthFood"/>
    <x v="74"/>
    <s v="BAGS"/>
    <s v="SENSITIVE"/>
    <n v="90"/>
    <n v="7.6300000000000007E-2"/>
    <n v="0.42759999999999998"/>
    <n v="0.15670000000000001"/>
    <n v="3.4260000000000002"/>
    <n v="18.685099999999998"/>
    <n v="6.8449999999999998"/>
    <s v="460.42"/>
    <n v="-0.35129999999999995"/>
    <n v="11.8401"/>
  </r>
  <r>
    <s v="MIMOSA BABY ALOE VERA 64 BAG"/>
    <s v=" GlobalMap"/>
    <x v="75"/>
    <s v="BAGS"/>
    <s v="WITHOUT EXTRA PROTECTCARE INDICATION"/>
    <n v="64"/>
    <n v="13.539"/>
    <n v="14.939299999999999"/>
    <n v="5.9192"/>
    <n v="399.25150000000002"/>
    <n v="471.38619999999997"/>
    <n v="172.6644"/>
    <s v="10.34"/>
    <n v="-1.4002999999999997"/>
    <n v="298.72179999999997"/>
  </r>
  <r>
    <s v="MIMOSA BABY CHAMOMILE 64 BAG"/>
    <s v=" GlobalMap"/>
    <x v="75"/>
    <s v="BAGS"/>
    <s v="WITHOUT EXTRA PROTECTCARE INDICATION"/>
    <n v="64"/>
    <n v="9.7232000000000003"/>
    <n v="14.417199999999999"/>
    <n v="5.9874999999999998"/>
    <n v="300.88780000000003"/>
    <n v="488.67129999999997"/>
    <n v="199.4579"/>
    <s v="48.28"/>
    <n v="-4.6939999999999991"/>
    <n v="289.21339999999998"/>
  </r>
  <r>
    <s v="MIMOSA BABY PH5.5 72 BAG KAPAK"/>
    <s v=" GlobalMap"/>
    <x v="75"/>
    <s v="BAGS"/>
    <s v="PH BALANCED"/>
    <n v="72"/>
    <n v="0.4834"/>
    <n v="0"/>
    <n v="0"/>
    <n v="12.901899999999999"/>
    <n v="0"/>
    <n v="0"/>
    <s v="0.00"/>
    <n v="0.4834"/>
    <n v="0"/>
  </r>
  <r>
    <s v="SENCE BABY SENSITIVE PH5.5 W 60 BAG"/>
    <s v=" PrimeBrands Marketing B.V."/>
    <x v="76"/>
    <s v="BAGS"/>
    <s v="SENSITIVE"/>
    <n v="60"/>
    <n v="0.13550000000000001"/>
    <n v="0"/>
    <n v="0"/>
    <n v="3.2519"/>
    <n v="0"/>
    <n v="0"/>
    <s v="0.00"/>
    <n v="0.13550000000000001"/>
    <n v="0"/>
  </r>
  <r>
    <s v="BABY CARE CHAMOMILE 4X12/2FR BAG"/>
    <s v=" Giga S.A."/>
    <x v="77"/>
    <s v="BAGS"/>
    <s v="ALCOHOL FREE &amp; HYPOALLERGENIC"/>
    <n v="12"/>
    <n v="0"/>
    <n v="2.3E-3"/>
    <n v="0"/>
    <n v="0"/>
    <n v="4.8000000000000001E-2"/>
    <n v="0"/>
    <s v="0.00"/>
    <n v="-2.3E-3"/>
    <n v="4.8000000000000001E-2"/>
  </r>
  <r>
    <s v="BABY CARE CHAMOMILE W 12 BAG"/>
    <s v=" Giga S.A."/>
    <x v="77"/>
    <s v="BAGS"/>
    <s v="ALCOHOL FREE &amp; HYPOALLERGENIC"/>
    <n v="12"/>
    <n v="3.7978999999999998"/>
    <n v="0.23119999999999999"/>
    <n v="5.57E-2"/>
    <n v="45.909399999999998"/>
    <n v="3.0430999999999999"/>
    <n v="0.74270000000000003"/>
    <s v="-93.91"/>
    <n v="3.5667"/>
    <n v="2.3003999999999998"/>
  </r>
  <r>
    <s v="BABY CARE CHAMOMILE W 3X12/1FR BAG"/>
    <s v=" Giga S.A."/>
    <x v="77"/>
    <s v="BAGS"/>
    <s v="ALCOHOL FREE &amp; HYPOALLERGENIC"/>
    <n v="12"/>
    <n v="10.1713"/>
    <n v="1.4034"/>
    <n v="0.79169999999999996"/>
    <n v="191.46350000000001"/>
    <n v="25.065200000000001"/>
    <n v="12.493499999999999"/>
    <s v="-86.20"/>
    <n v="8.7679000000000009"/>
    <n v="12.571700000000002"/>
  </r>
  <r>
    <s v="BABY CARE TRAVEL CHAMOMILE 20 BAG"/>
    <s v=" Giga S.A."/>
    <x v="77"/>
    <s v="BAGS"/>
    <s v="ALCOHOL FREE &amp; HYPOALLERGENIC"/>
    <n v="20"/>
    <n v="8.9099999999999999E-2"/>
    <n v="0"/>
    <n v="0"/>
    <n v="1.4943"/>
    <n v="0"/>
    <n v="0"/>
    <s v="0.00"/>
    <n v="8.9099999999999999E-2"/>
    <n v="0"/>
  </r>
  <r>
    <s v="BABY CARE CLAMING PURE WATER 63 BAG"/>
    <s v=" Giga S.A."/>
    <x v="77"/>
    <s v="BAGS"/>
    <s v="WITHOUT EXTRA PROTECTCARE INDICATION"/>
    <n v="63"/>
    <n v="16.7622"/>
    <n v="54.880099999999999"/>
    <n v="30.8141"/>
    <n v="558.82709999999997"/>
    <n v="1712.2448999999999"/>
    <n v="842.72770000000003"/>
    <s v="227.40"/>
    <n v="-38.117899999999999"/>
    <n v="869.51719999999989"/>
  </r>
  <r>
    <s v="BABY CARE PURE COTTON EXTRACT 63 BAG"/>
    <s v=" Giga S.A."/>
    <x v="77"/>
    <s v="BAGS"/>
    <s v="WITHOUT EXTRA PROTECTCARE INDICATION"/>
    <n v="63"/>
    <n v="61.024299999999997"/>
    <n v="69.369399999999999"/>
    <n v="37.2607"/>
    <n v="1986.0632000000001"/>
    <n v="2074.7809000000002"/>
    <n v="1026.0545999999999"/>
    <s v="13.68"/>
    <n v="-8.3451000000000022"/>
    <n v="1048.7263000000003"/>
  </r>
  <r>
    <s v="BABY CARE SENSITIVE OLIVE EXTRACT 63 BAG"/>
    <s v=" Giga S.A."/>
    <x v="77"/>
    <s v="BAGS"/>
    <s v="SENSITIVE"/>
    <n v="63"/>
    <n v="99.720299999999995"/>
    <n v="82.962900000000005"/>
    <n v="1.6460999999999999"/>
    <n v="3124.0421999999999"/>
    <n v="2460.6639"/>
    <n v="45.897799999999997"/>
    <s v="-16.80"/>
    <n v="16.75739999999999"/>
    <n v="2414.7660999999998"/>
  </r>
  <r>
    <s v="BABY CARE TRAVEL CHAMOMILE 72 BAG RE"/>
    <s v=" Giga S.A."/>
    <x v="77"/>
    <s v="BAGS"/>
    <s v="WITHOUT EXTRA PROTECTCARE INDICATION"/>
    <n v="72"/>
    <n v="86.361699999999999"/>
    <n v="101.56570000000001"/>
    <n v="54.776899999999998"/>
    <n v="3022.1621"/>
    <n v="3499.3182999999999"/>
    <n v="1704.9738"/>
    <s v="17.61"/>
    <n v="-15.204000000000008"/>
    <n v="1794.3444999999999"/>
  </r>
  <r>
    <s v="BABY LINO SENSITIVE CHAMOMILE W 54 BAG"/>
    <s v=" Giga S.A."/>
    <x v="78"/>
    <s v="BAGS"/>
    <s v="SENSITIVE"/>
    <n v="54"/>
    <n v="23.7104"/>
    <n v="2.5188000000000001"/>
    <n v="0.15770000000000001"/>
    <n v="549.04570000000001"/>
    <n v="49.080599999999997"/>
    <n v="2.9064000000000001"/>
    <s v="-89.38"/>
    <n v="21.191600000000001"/>
    <n v="46.174199999999999"/>
  </r>
  <r>
    <s v="BABYLINO SENSITIVE ARNIKACHAMOMILE W 54"/>
    <s v=" Giga S.A."/>
    <x v="78"/>
    <s v="BAGS"/>
    <s v="SENSITIVE"/>
    <n v="54"/>
    <n v="34.488300000000002"/>
    <n v="5.6889000000000003"/>
    <n v="0.2626"/>
    <n v="739.96220000000005"/>
    <n v="104.66840000000001"/>
    <n v="4.7222"/>
    <s v="-83.50"/>
    <n v="28.799400000000002"/>
    <n v="99.946200000000005"/>
  </r>
  <r>
    <s v="BABYLINO SENSITIVE CHAMOMILE W 54+10 BAG"/>
    <s v=" Giga S.A."/>
    <x v="78"/>
    <s v="BAGS"/>
    <s v="SENSITIVE"/>
    <n v="54"/>
    <n v="0.31869999999999998"/>
    <n v="0"/>
    <n v="0"/>
    <n v="6.5327000000000002"/>
    <n v="0"/>
    <n v="0"/>
    <s v="0.00"/>
    <n v="0.31869999999999998"/>
    <n v="0"/>
  </r>
  <r>
    <s v="BABYLINO SENSITIVE CHAMOMILE W 54+WIP 10"/>
    <s v=" Giga S.A."/>
    <x v="78"/>
    <s v="BAGS"/>
    <s v="SENSITIVE"/>
    <n v="54"/>
    <n v="7.1499999999999994E-2"/>
    <n v="0"/>
    <n v="0"/>
    <n v="1.2682"/>
    <n v="0"/>
    <n v="0"/>
    <s v="0.00"/>
    <n v="7.1499999999999994E-2"/>
    <n v="0"/>
  </r>
  <r>
    <s v="L'UNICO BABY OLIO DI ARGAN HYPO.W 72 BAG"/>
    <s v=" MontraWorld"/>
    <x v="79"/>
    <s v="BAGS"/>
    <s v="HYPOALLERGENIC"/>
    <n v="72"/>
    <n v="0"/>
    <n v="6.2138"/>
    <n v="8.77E-2"/>
    <n v="0"/>
    <n v="384.83499999999998"/>
    <n v="5.7408999999999999"/>
    <s v="0.00"/>
    <n v="-6.2138"/>
    <n v="379.09409999999997"/>
  </r>
  <r>
    <s v="BIG SOFT SENSITIVE WITH CREAM 100 BAG"/>
    <s v=" Moratex Group / Tobi MegaGroup LTD"/>
    <x v="80"/>
    <s v="BAGS"/>
    <s v="SENSITIVE"/>
    <n v="100"/>
    <n v="2.8529"/>
    <n v="0"/>
    <n v="0"/>
    <n v="195.97380000000001"/>
    <n v="0"/>
    <n v="0"/>
    <s v="0.00"/>
    <n v="2.8529"/>
    <n v="0"/>
  </r>
  <r>
    <s v="BIGSOFT SENSITIVEWITHCREAM 100 BAG KAPAK"/>
    <s v=" Moratex Group / Tobi MegaGroup LTD"/>
    <x v="80"/>
    <s v="BAGS"/>
    <s v="SENSITIVE"/>
    <n v="100"/>
    <n v="13.515499999999999"/>
    <n v="1.9742999999999999"/>
    <n v="2.98E-2"/>
    <n v="813.32730000000004"/>
    <n v="103.7679"/>
    <n v="1.4246000000000001"/>
    <s v="-85.39"/>
    <n v="11.5412"/>
    <n v="102.3433"/>
  </r>
  <r>
    <s v="BIG SOFT CREAM SENS.PH5.5 W 120 BAG"/>
    <s v=" Moratex Group / Tobi MegaGroup LTD"/>
    <x v="80"/>
    <s v="BAGS"/>
    <s v="SENSITIVE"/>
    <n v="120"/>
    <n v="0"/>
    <n v="47.540100000000002"/>
    <n v="13.0617"/>
    <n v="0"/>
    <n v="2356.4949999999999"/>
    <n v="720.12469999999996"/>
    <s v="0.00"/>
    <n v="-47.540100000000002"/>
    <n v="1636.3703"/>
  </r>
  <r>
    <s v="BIG SOFT SENSITIVE OLIVE OIL ALOE 70 BAG"/>
    <s v=" Moratex Group / Tobi MegaGroup LTD"/>
    <x v="80"/>
    <s v="BAGS"/>
    <s v="SENSITIVE"/>
    <n v="70"/>
    <n v="4.0548000000000002"/>
    <n v="2.4268999999999998"/>
    <n v="0"/>
    <n v="220.69159999999999"/>
    <n v="134.58930000000001"/>
    <n v="0"/>
    <s v="-40.15"/>
    <n v="1.6279000000000003"/>
    <n v="134.58930000000001"/>
  </r>
  <r>
    <s v="HAPPY FAMILY BABY PH5.5 W 70 BAG"/>
    <s v=" Moratex Group / Tobi MegaGroup LTD"/>
    <x v="81"/>
    <s v="BAGS"/>
    <s v="PH BALANCED"/>
    <n v="70"/>
    <n v="42.300199999999997"/>
    <n v="20.829499999999999"/>
    <n v="4.8948"/>
    <n v="2912.5239999999999"/>
    <n v="1143.2672"/>
    <n v="245.0727"/>
    <s v="-50.76"/>
    <n v="21.470699999999997"/>
    <n v="898.19450000000006"/>
  </r>
  <r>
    <s v="MORS CHAMOMILE PH5.5 W 120 BAG KAPAK"/>
    <s v=" MoreBeauty"/>
    <x v="82"/>
    <s v="BAGS"/>
    <s v="PH BALANCED"/>
    <n v="120"/>
    <n v="12.6196"/>
    <n v="0.30170000000000002"/>
    <n v="0"/>
    <n v="774.8818"/>
    <n v="18.222799999999999"/>
    <n v="0"/>
    <s v="-97.61"/>
    <n v="12.3179"/>
    <n v="18.222799999999999"/>
  </r>
  <r>
    <s v="WIPEST COMFORT ALC.FREE W 120 BAG KAPAK"/>
    <s v=" MoreBeauty"/>
    <x v="83"/>
    <s v="BAGS"/>
    <s v="ALCOHOL FREE"/>
    <n v="120"/>
    <n v="0"/>
    <n v="39.128300000000003"/>
    <n v="18.019200000000001"/>
    <n v="0"/>
    <n v="2116.4569999999999"/>
    <n v="1056.0386000000001"/>
    <s v="0.00"/>
    <n v="-39.128300000000003"/>
    <n v="1060.4183999999998"/>
  </r>
  <r>
    <s v="WIPEST COMFORT ALC.FREE W 72 BAG KAPAK"/>
    <s v=" MoreBeauty"/>
    <x v="83"/>
    <s v="BAGS"/>
    <s v="ALCOHOL FREE"/>
    <n v="72"/>
    <n v="14.5854"/>
    <n v="45.532299999999999"/>
    <n v="49.915700000000001"/>
    <n v="930.23509999999999"/>
    <n v="2490.5082000000002"/>
    <n v="2411.3348000000001"/>
    <s v="212.18"/>
    <n v="-30.946899999999999"/>
    <n v="79.173400000000129"/>
  </r>
  <r>
    <s v="NATY SENSITIVE ALOE VERA W 56 BAG"/>
    <s v=" NaturalCo AB"/>
    <x v="84"/>
    <s v="BAGS"/>
    <s v="SENSITIVE"/>
    <n v="56"/>
    <n v="0.1139"/>
    <n v="4.0300000000000002E-2"/>
    <n v="0"/>
    <n v="0.85599999999999998"/>
    <n v="0.30399999999999999"/>
    <n v="0"/>
    <s v="-64.62"/>
    <n v="7.3599999999999999E-2"/>
    <n v="0.30399999999999999"/>
  </r>
  <r>
    <s v="NATY SENSITIVE W 56 BAG NATY AB"/>
    <s v=" NaturalCo AB"/>
    <x v="84"/>
    <s v="BAGS"/>
    <s v="SENSITIVE"/>
    <n v="56"/>
    <n v="0.19919999999999999"/>
    <n v="0"/>
    <n v="0"/>
    <n v="1.496"/>
    <n v="0"/>
    <n v="0"/>
    <s v="0.00"/>
    <n v="0.19919999999999999"/>
    <n v="0"/>
  </r>
  <r>
    <s v="FRESH BABY PREMIUM ALC.FREE W 100 BAG"/>
    <s v=" Voyage Turkey"/>
    <x v="85"/>
    <s v="BAGS"/>
    <s v="ALCOHOL FREE"/>
    <n v="100"/>
    <n v="4.4461000000000004"/>
    <n v="2.0626000000000002"/>
    <n v="0"/>
    <n v="234.7319"/>
    <n v="137.5095"/>
    <n v="0"/>
    <s v="-53.61"/>
    <n v="2.3835000000000002"/>
    <n v="137.5095"/>
  </r>
  <r>
    <s v="FRESH BABY PH5.5 W 15 BAG"/>
    <s v=" Voyage Turkey"/>
    <x v="85"/>
    <s v="BAGS"/>
    <s v="PH BALANCED"/>
    <n v="15"/>
    <n v="0.15609999999999999"/>
    <n v="2.98E-2"/>
    <n v="0.25540000000000002"/>
    <n v="9.3703000000000003"/>
    <n v="1.4905999999999999"/>
    <n v="12.7729"/>
    <s v="-80.91"/>
    <n v="0.1263"/>
    <n v="-11.282299999999999"/>
  </r>
  <r>
    <s v="FRESH BABY WATER 99.9% W 60 BAG"/>
    <s v=" Voyage Turkey"/>
    <x v="85"/>
    <s v="BAGS"/>
    <s v="WITHOUT EXTRA PROTECTCARE INDICATION"/>
    <n v="60"/>
    <n v="1.8445"/>
    <n v="0"/>
    <n v="0"/>
    <n v="41.871899999999997"/>
    <n v="0"/>
    <n v="0"/>
    <s v="0.00"/>
    <n v="1.8445"/>
    <n v="0"/>
  </r>
  <r>
    <s v="FRESH BABY P H5.5 W 72 BAG"/>
    <s v=" Voyage Turkey"/>
    <x v="85"/>
    <s v="BAGS"/>
    <s v="PH BALANCED"/>
    <n v="72"/>
    <n v="0.57199999999999995"/>
    <n v="0"/>
    <n v="0"/>
    <n v="34.318100000000001"/>
    <n v="0"/>
    <n v="0"/>
    <s v="0.00"/>
    <n v="0.57199999999999995"/>
    <n v="0"/>
  </r>
  <r>
    <s v="FRESH BABY PH5.5 W 72 BAG KAPAK"/>
    <s v=" Voyage Turkey"/>
    <x v="85"/>
    <s v="BAGS"/>
    <s v="PH BALANCED"/>
    <n v="72"/>
    <n v="10.123900000000001"/>
    <n v="4.3895"/>
    <n v="0"/>
    <n v="617.78060000000005"/>
    <n v="241.07740000000001"/>
    <n v="0"/>
    <s v="-56.64"/>
    <n v="5.7344000000000008"/>
    <n v="241.07740000000001"/>
  </r>
  <r>
    <s v="GOLDEN SENSITIVE W 120 BAG"/>
    <s v=" Voyage Turkey"/>
    <x v="86"/>
    <s v="BAGS"/>
    <s v="SENSITIVE"/>
    <n v="120"/>
    <n v="0"/>
    <n v="56.203800000000001"/>
    <n v="22.180299999999999"/>
    <n v="0"/>
    <n v="3259.8697999999999"/>
    <n v="1260.6195"/>
    <s v="0.00"/>
    <n v="-56.203800000000001"/>
    <n v="1999.2502999999999"/>
  </r>
  <r>
    <s v="GOLDEN SENSITIVE W 72 BAG"/>
    <s v=" Voyage Turkey"/>
    <x v="86"/>
    <s v="BAGS"/>
    <s v="SENSITIVE"/>
    <n v="72"/>
    <n v="0"/>
    <n v="15.356400000000001"/>
    <n v="10.720599999999999"/>
    <n v="0"/>
    <n v="847.21910000000003"/>
    <n v="534.71069999999997"/>
    <s v="0.00"/>
    <n v="-15.356400000000001"/>
    <n v="312.50840000000005"/>
  </r>
  <r>
    <s v="MY FIX BABY ROSE FRESH W 80 BAG KAPAK"/>
    <s v=" Voyage Turkey"/>
    <x v="87"/>
    <s v="BAGS"/>
    <s v="WITHOUT EXTRA PROTECTCARE INDICATION"/>
    <n v="80"/>
    <n v="1.0731999999999999"/>
    <n v="0"/>
    <n v="0"/>
    <n v="47.075600000000001"/>
    <n v="0"/>
    <n v="0"/>
    <s v="0.00"/>
    <n v="1.0731999999999999"/>
    <n v="0"/>
  </r>
  <r>
    <s v="PUFFY BABY SENSITIVE PURE W 88 BAG KAPAK"/>
    <s v=" Voyage Turkey"/>
    <x v="88"/>
    <s v="BAGS"/>
    <s v="SENSITIVE"/>
    <n v="88"/>
    <n v="2.6486999999999998"/>
    <n v="0"/>
    <n v="0"/>
    <n v="124.62050000000001"/>
    <n v="0"/>
    <n v="0"/>
    <s v="0.00"/>
    <n v="2.6486999999999998"/>
    <n v="0"/>
  </r>
  <r>
    <s v="TITO BABY SOFT COMFORT PH5.5 W 120 BAG"/>
    <s v=" Voyage Turkey"/>
    <x v="89"/>
    <s v="BAGS"/>
    <s v="PH BALANCED"/>
    <n v="120"/>
    <n v="84.095799999999997"/>
    <n v="151.49979999999999"/>
    <n v="39.488900000000001"/>
    <n v="4863.5491000000002"/>
    <n v="8687.4974999999995"/>
    <n v="2240.9688000000001"/>
    <s v="80.15"/>
    <n v="-67.403999999999996"/>
    <n v="6446.5286999999989"/>
  </r>
  <r>
    <s v="TITO BABY PH5.5 ALC.FREE W 72 BAG KAPAK"/>
    <s v=" Voyage Turkey"/>
    <x v="89"/>
    <s v="BAGS"/>
    <s v="PH BALANCED"/>
    <n v="72"/>
    <n v="24.440899999999999"/>
    <n v="13.931900000000001"/>
    <n v="5.4257"/>
    <n v="1419.3269"/>
    <n v="757.8877"/>
    <n v="289.12630000000001"/>
    <s v="-43.00"/>
    <n v="10.508999999999999"/>
    <n v="468.76139999999998"/>
  </r>
  <r>
    <s v="TITO BABY SOFT COMFORT PH5.5 W 72 BAG"/>
    <s v=" Voyage Turkey"/>
    <x v="89"/>
    <s v="BAGS"/>
    <s v="PH BALANCED"/>
    <n v="72"/>
    <n v="2.0893000000000002"/>
    <n v="2.5973000000000002"/>
    <n v="0.1109"/>
    <n v="135.5565"/>
    <n v="141.02850000000001"/>
    <n v="6.4691999999999998"/>
    <s v="24.31"/>
    <n v="-0.50800000000000001"/>
    <n v="134.55930000000001"/>
  </r>
  <r>
    <s v="FRESH BABY PREM.QUALITY PH5.5 W 120 BAG"/>
    <s v=" Nur Food Industry"/>
    <x v="85"/>
    <s v="BAGS"/>
    <s v="PH BALANCED"/>
    <n v="120"/>
    <n v="6.1833"/>
    <n v="0.61119999999999997"/>
    <n v="0"/>
    <n v="392.1592"/>
    <n v="31.181999999999999"/>
    <n v="0"/>
    <s v="-90.12"/>
    <n v="5.5720999999999998"/>
    <n v="31.181999999999999"/>
  </r>
  <r>
    <s v="PUFY BABY CHAMOMILE PH5.5 W 120 BAG"/>
    <s v=" Nur Food Industry"/>
    <x v="90"/>
    <s v="BAGS"/>
    <s v="PH BALANCED"/>
    <n v="120"/>
    <n v="2.5480999999999998"/>
    <n v="2.6009000000000002"/>
    <n v="0"/>
    <n v="132.16820000000001"/>
    <n v="141.76490000000001"/>
    <n v="0"/>
    <s v="2.07"/>
    <n v="-5.2800000000000402E-2"/>
    <n v="141.76490000000001"/>
  </r>
  <r>
    <s v="SPEEDYCARE BABYLINECONCREMAMAXI 20 BAG"/>
    <s v=" O-Package S.R.L."/>
    <x v="91"/>
    <s v="BAGS"/>
    <s v="HYPOALLERGENIC"/>
    <n v="20"/>
    <n v="0.15809999999999999"/>
    <n v="2E-3"/>
    <n v="1E-3"/>
    <n v="2.1"/>
    <n v="0.02"/>
    <n v="0.02"/>
    <s v="-98.73"/>
    <n v="0.15609999999999999"/>
    <n v="0"/>
  </r>
  <r>
    <s v="CAN BEBE BASIC CARE ALK.FREE W 56 BAG"/>
    <s v=" OnTop"/>
    <x v="92"/>
    <s v="BAGS"/>
    <s v="ALCOHOL FREE"/>
    <n v="56"/>
    <n v="6.0000000000000001E-3"/>
    <n v="0.35439999999999999"/>
    <n v="0"/>
    <n v="0.33839999999999998"/>
    <n v="16.541699999999999"/>
    <n v="0"/>
    <s v="5806.67"/>
    <n v="-0.34839999999999999"/>
    <n v="16.541699999999999"/>
  </r>
  <r>
    <s v="KOPRINA  FreshClean 72 W BAG KAPAK"/>
    <s v=" CrescentTextile SAN"/>
    <x v="93"/>
    <s v="BAGS"/>
    <s v="PH BALANCED"/>
    <n v="72"/>
    <n v="0"/>
    <n v="0"/>
    <n v="9.8000000000000004E-2"/>
    <n v="0"/>
    <n v="0"/>
    <n v="3.3592"/>
    <s v="0.00"/>
    <n v="0"/>
    <n v="-3.3592"/>
  </r>
  <r>
    <s v="BEBIKO VIP BABY ALOE VERA W 72 BAG KAPAK"/>
    <s v=" PakChem"/>
    <x v="94"/>
    <s v="BAGS"/>
    <s v="WITHOUT EXTRA PROTECTCARE INDICATION"/>
    <n v="72"/>
    <n v="0"/>
    <n v="0.79349999999999998"/>
    <n v="0.7298"/>
    <n v="0"/>
    <n v="47.268799999999999"/>
    <n v="43.602699999999999"/>
    <s v="0.00"/>
    <n v="-0.79349999999999998"/>
    <n v="3.6661000000000001"/>
  </r>
  <r>
    <s v="PAPATYA BABY B5&amp;VIT E PH5.5 90 W BAG"/>
    <s v=" Daisy Cotton Cosmetics"/>
    <x v="95"/>
    <s v="BAGS"/>
    <s v="PH BALANCED"/>
    <n v="90"/>
    <n v="0.36020000000000002"/>
    <n v="5.21E-2"/>
    <n v="9.4000000000000004E-3"/>
    <n v="19.065100000000001"/>
    <n v="2.6206"/>
    <n v="0.48"/>
    <s v="-85.54"/>
    <n v="0.30810000000000004"/>
    <n v="2.1406000000000001"/>
  </r>
  <r>
    <s v="PERFETTO PH5.5 ALC.FREE W 80 BAG"/>
    <s v=" IdealGroup"/>
    <x v="96"/>
    <s v="BAGS"/>
    <s v="PH BALANCED"/>
    <n v="80"/>
    <n v="0"/>
    <n v="0"/>
    <n v="2.0999999999999999E-3"/>
    <n v="0"/>
    <n v="0"/>
    <n v="0.17710000000000001"/>
    <s v="0.00"/>
    <n v="0"/>
    <n v="-0.17710000000000001"/>
  </r>
  <r>
    <s v="BETTY BABY ALC.FREE W 24 BAG"/>
    <s v=" PhoenixMedicine DOO"/>
    <x v="97"/>
    <s v="BAGS"/>
    <s v="ALCOHOL FREE"/>
    <n v="24"/>
    <n v="1.4545999999999999"/>
    <n v="0.15629999999999999"/>
    <n v="5.8099999999999999E-2"/>
    <n v="31.957999999999998"/>
    <n v="3.1030000000000002"/>
    <n v="1.1613"/>
    <s v="-89.25"/>
    <n v="1.2982999999999998"/>
    <n v="1.9417000000000002"/>
  </r>
  <r>
    <s v="BETTY BABY ALC.FREE W 72 BAG"/>
    <s v=" PhoenixMedicine DOO"/>
    <x v="97"/>
    <s v="BAGS"/>
    <s v="ALCOHOL FREE"/>
    <n v="72"/>
    <n v="0.69610000000000005"/>
    <n v="0"/>
    <n v="0"/>
    <n v="23.8918"/>
    <n v="0"/>
    <n v="0"/>
    <s v="0.00"/>
    <n v="0.69610000000000005"/>
    <n v="0"/>
  </r>
  <r>
    <s v="KLORANE BEBE CALENDULA ALC.FREE W 25 BAG"/>
    <s v=" FabreStone"/>
    <x v="98"/>
    <s v="BAGS"/>
    <s v="ALCOHOL FREE"/>
    <n v="25"/>
    <n v="0.83640000000000003"/>
    <n v="0.55679999999999996"/>
    <n v="0.16950000000000001"/>
    <n v="3.2871000000000001"/>
    <n v="1.9970000000000001"/>
    <n v="0.75749999999999995"/>
    <s v="-33.43"/>
    <n v="0.27960000000000007"/>
    <n v="1.2395"/>
  </r>
  <r>
    <s v="KLORANE BEBE CALENDULA CLEAN.LOTION W 70"/>
    <s v=" FabreStone"/>
    <x v="98"/>
    <s v="BAGS"/>
    <s v="ALCOHOL FREE"/>
    <n v="70"/>
    <n v="1.8599999999999998E-2"/>
    <n v="0"/>
    <n v="0"/>
    <n v="0.14000000000000001"/>
    <n v="0"/>
    <n v="0"/>
    <s v="0.00"/>
    <n v="1.8599999999999998E-2"/>
    <n v="0"/>
  </r>
  <r>
    <s v="KLORANE BEBE CALENDULA THICKCL. W 70 BAG"/>
    <s v=" FabreStone"/>
    <x v="98"/>
    <s v="BAGS"/>
    <s v="ALCOHOL FREE"/>
    <n v="70"/>
    <n v="0.34599999999999997"/>
    <n v="0.3881"/>
    <n v="0.2717"/>
    <n v="2.4157999999999999"/>
    <n v="2.4979"/>
    <n v="1.68"/>
    <s v="12.17"/>
    <n v="-4.2100000000000026E-2"/>
    <n v="0.81790000000000007"/>
  </r>
  <r>
    <s v="KLORANE BEBE CALENDULA W 70 SP.TS. BAG"/>
    <s v=" FabreStone"/>
    <x v="98"/>
    <s v="BAGS"/>
    <s v="ALCOHOL FREE"/>
    <n v="70"/>
    <n v="0.25569999999999998"/>
    <n v="2.6200000000000001E-2"/>
    <n v="0"/>
    <n v="2.27"/>
    <n v="0.31"/>
    <n v="0"/>
    <s v="-89.75"/>
    <n v="0.22949999999999998"/>
    <n v="0.31"/>
  </r>
  <r>
    <s v="FRESH BABY ALOE&amp;CALEN. PH5.5 W 60 BAG"/>
    <s v=" Pyramid72 DOO"/>
    <x v="85"/>
    <s v="BAGS"/>
    <s v="PH BALANCED"/>
    <n v="60"/>
    <n v="4.2514000000000003"/>
    <n v="9.5349000000000004"/>
    <n v="4.3247999999999998"/>
    <n v="118.9742"/>
    <n v="264.43900000000002"/>
    <n v="116.2043"/>
    <s v="124.28"/>
    <n v="-5.2835000000000001"/>
    <n v="148.23470000000003"/>
  </r>
  <r>
    <s v="FRESH BABY AQUA PURE PH5.5 W 60 BAG"/>
    <s v=" Pyramid72 DOO"/>
    <x v="85"/>
    <s v="BAGS"/>
    <s v="PH BALANCED"/>
    <n v="60"/>
    <n v="0"/>
    <n v="3.1814"/>
    <n v="1.8621000000000001"/>
    <n v="0"/>
    <n v="84.536500000000004"/>
    <n v="48.9773"/>
    <s v="0.00"/>
    <n v="-3.1814"/>
    <n v="35.559200000000004"/>
  </r>
  <r>
    <s v="FRESH BABY CARE ALOE VERA W 60 BAG"/>
    <s v=" Pyramid72 DOO"/>
    <x v="85"/>
    <s v="BAGS"/>
    <s v="WITHOUT EXTRA PROTECTCARE INDICATION"/>
    <n v="60"/>
    <n v="9.6434999999999995"/>
    <n v="0"/>
    <n v="0"/>
    <n v="280.5643"/>
    <n v="0"/>
    <n v="0"/>
    <s v="0.00"/>
    <n v="9.6434999999999995"/>
    <n v="0"/>
  </r>
  <r>
    <s v="FRESH BABY SOFT CREAM W 60 BAG"/>
    <s v=" Pyramid72 DOO"/>
    <x v="85"/>
    <s v="BAGS"/>
    <s v="WITHOUT EXTRA PROTECTCARE INDICATION"/>
    <n v="60"/>
    <n v="12.711499999999999"/>
    <n v="0"/>
    <n v="0"/>
    <n v="374.43990000000002"/>
    <n v="0"/>
    <n v="0"/>
    <s v="0.00"/>
    <n v="12.711499999999999"/>
    <n v="0"/>
  </r>
  <r>
    <s v="SLIPP BEBE SENS.LOTION&amp;VITE&amp;B5 W 120 BAG"/>
    <s v=" PreDone"/>
    <x v="99"/>
    <s v="BAGS"/>
    <s v="SENSITIVE"/>
    <n v="120"/>
    <n v="0"/>
    <n v="0"/>
    <n v="0.624"/>
    <n v="0"/>
    <n v="0"/>
    <n v="34.035699999999999"/>
    <s v="0.00"/>
    <n v="0"/>
    <n v="-34.035699999999999"/>
  </r>
  <r>
    <s v="MELANI BABY ALOEVERA&amp;VITE W 64 BAG KAPAK"/>
    <s v=" ProStart 97"/>
    <x v="100"/>
    <s v="BAGS"/>
    <s v="WITHOUT EXTRA PROTECTCARE INDICATION"/>
    <n v="64"/>
    <n v="192.72300000000001"/>
    <n v="183.24340000000001"/>
    <n v="97.209599999999995"/>
    <n v="7900.9691000000003"/>
    <n v="6838.8454000000002"/>
    <n v="3264.5805999999998"/>
    <s v="-4.92"/>
    <n v="9.4796000000000049"/>
    <n v="3574.2648000000004"/>
  </r>
  <r>
    <s v="PAMPERS AQUA PURE ALC.FREE 12 BAG+DIA"/>
    <s v=" Proctor &amp; Wager"/>
    <x v="101"/>
    <s v="BAGS"/>
    <s v="ALCOHOL FREE"/>
    <n v="12"/>
    <n v="6.59E-2"/>
    <n v="0.95820000000000005"/>
    <n v="0"/>
    <n v="0.18509999999999999"/>
    <n v="3.0327999999999999"/>
    <n v="0"/>
    <s v="1354.02"/>
    <n v="-0.89230000000000009"/>
    <n v="3.0327999999999999"/>
  </r>
  <r>
    <s v="PAMPERS AQUA PURE ALC.FREE 12 BAG+DIA28"/>
    <s v=" Proctor &amp; Wager"/>
    <x v="101"/>
    <s v="BAGS"/>
    <s v="ALCOHOL FREE"/>
    <n v="12"/>
    <n v="5.1000000000000004E-3"/>
    <n v="0.40570000000000001"/>
    <n v="0"/>
    <n v="1.37E-2"/>
    <n v="1.3527"/>
    <n v="0"/>
    <s v="7854.90"/>
    <n v="-0.40060000000000001"/>
    <n v="1.3527"/>
  </r>
  <r>
    <s v="PAMPERS AQUA PURE ALC.FREE 12 BAG+DIA50"/>
    <s v=" Proctor &amp; Wager"/>
    <x v="101"/>
    <s v="BAGS"/>
    <s v="ALCOHOL FREE"/>
    <n v="12"/>
    <n v="0.1182"/>
    <n v="1.0884"/>
    <n v="0"/>
    <n v="0.31890000000000002"/>
    <n v="3.3033999999999999"/>
    <n v="0"/>
    <s v="820.81"/>
    <n v="-0.97020000000000006"/>
    <n v="3.3033999999999999"/>
  </r>
  <r>
    <s v="PAMPERS SENSITIVE ALC.FREE 12 BAG"/>
    <s v=" Proctor &amp; Wager"/>
    <x v="101"/>
    <s v="BAGS"/>
    <s v="SENSITIVE"/>
    <n v="12"/>
    <n v="0.87180000000000002"/>
    <n v="4.3999999999999997E-2"/>
    <n v="0"/>
    <n v="8.5823999999999998"/>
    <n v="0.58599999999999997"/>
    <n v="0"/>
    <s v="-94.95"/>
    <n v="0.82779999999999998"/>
    <n v="0.58599999999999997"/>
  </r>
  <r>
    <s v="PAMPERS SENSITIVE PH5.5 12 BAG"/>
    <s v=" Proctor &amp; Wager"/>
    <x v="101"/>
    <s v="BAGS"/>
    <s v="SENSITIVE"/>
    <n v="12"/>
    <n v="5.4508000000000001"/>
    <n v="2.1189"/>
    <n v="0.77749999999999997"/>
    <n v="70.866600000000005"/>
    <n v="26.7118"/>
    <n v="8.9403000000000006"/>
    <s v="-61.13"/>
    <n v="3.3319000000000001"/>
    <n v="17.7715"/>
  </r>
  <r>
    <s v="PAMPERS BABY FRESH 24 BAG"/>
    <s v=" Proctor &amp; Wager"/>
    <x v="101"/>
    <s v="BAGS"/>
    <s v="ALCOHOL FREE"/>
    <n v="24"/>
    <n v="9.06E-2"/>
    <n v="0"/>
    <n v="0"/>
    <n v="1.3372999999999999"/>
    <n v="0"/>
    <n v="0"/>
    <s v="0.00"/>
    <n v="9.06E-2"/>
    <n v="0"/>
  </r>
  <r>
    <s v="PAMPERS SOLE E LUNA CAMOMILLA 50/25%BAG"/>
    <s v=" Proctor &amp; Wager"/>
    <x v="101"/>
    <s v="BAGS"/>
    <s v="WITHOUT EXTRA PROTECTCARE INDICATION"/>
    <n v="37"/>
    <n v="1.3827"/>
    <n v="0.7681"/>
    <n v="2.3199999999999998E-2"/>
    <n v="23.328099999999999"/>
    <n v="13.2523"/>
    <n v="0.52669999999999995"/>
    <s v="-44.45"/>
    <n v="0.61460000000000004"/>
    <n v="12.7256"/>
  </r>
  <r>
    <s v="PAMPERS AQUA HARMONIE 99%WATER 3X48 BAG"/>
    <s v=" Proctor &amp; Wager"/>
    <x v="101"/>
    <s v="BAGS"/>
    <s v="ALCOHOL FREE"/>
    <n v="48"/>
    <n v="0"/>
    <n v="0"/>
    <n v="20.740400000000001"/>
    <n v="0"/>
    <n v="0"/>
    <n v="310.0301"/>
    <s v="0.00"/>
    <n v="0"/>
    <n v="-310.0301"/>
  </r>
  <r>
    <s v="PAMPERS AQUA HARMONIE 99%WATER AL.FR.48"/>
    <s v=" Proctor &amp; Wager"/>
    <x v="101"/>
    <s v="BAGS"/>
    <s v="ALCOHOL FREE"/>
    <n v="48"/>
    <n v="0"/>
    <n v="0"/>
    <n v="1.2435"/>
    <n v="0"/>
    <n v="0"/>
    <n v="17.1813"/>
    <s v="0.00"/>
    <n v="0"/>
    <n v="-17.1813"/>
  </r>
  <r>
    <s v="PAMPERS AQUA PURE ALC.FREE 3X48 BAG"/>
    <s v=" Proctor &amp; Wager"/>
    <x v="101"/>
    <s v="BAGS"/>
    <s v="ALCOHOL FREE"/>
    <n v="48"/>
    <n v="4.0780000000000003"/>
    <n v="35.126199999999997"/>
    <n v="26.273900000000001"/>
    <n v="71.718599999999995"/>
    <n v="592.5693"/>
    <n v="441.30500000000001"/>
    <s v="761.36"/>
    <n v="-31.048199999999998"/>
    <n v="151.26429999999999"/>
  </r>
  <r>
    <s v="PAMPERS AQUA PURE ALC.FREE 48 BAG"/>
    <s v=" Proctor &amp; Wager"/>
    <x v="101"/>
    <s v="BAGS"/>
    <s v="ALCOHOL FREE"/>
    <n v="48"/>
    <n v="264.06810000000002"/>
    <n v="329.44319999999999"/>
    <n v="205.9486"/>
    <n v="3958.0279"/>
    <n v="5113.9928"/>
    <n v="2876.5592000000001"/>
    <s v="24.76"/>
    <n v="-65.375099999999975"/>
    <n v="2237.4335999999998"/>
  </r>
  <r>
    <s v="PAMPERS BABY FRESH CLEAN W 2X52 BAG"/>
    <s v=" Proctor &amp; Wager"/>
    <x v="101"/>
    <s v="BAGS"/>
    <s v="ALCOHOL FREE"/>
    <n v="52"/>
    <n v="8.5046999999999997"/>
    <n v="12.872299999999999"/>
    <n v="4.3821000000000003"/>
    <n v="194.4057"/>
    <n v="338.25259999999997"/>
    <n v="110.48520000000001"/>
    <s v="51.36"/>
    <n v="-4.3675999999999995"/>
    <n v="227.76739999999995"/>
  </r>
  <r>
    <s v="PAMPERS BABY FRESH CLEAN W 4X52 BAG"/>
    <s v=" Proctor &amp; Wager"/>
    <x v="101"/>
    <s v="BAGS"/>
    <s v="ALCOHOL FREE"/>
    <n v="52"/>
    <n v="171.4581"/>
    <n v="146.56880000000001"/>
    <n v="94.527100000000004"/>
    <n v="5827.8176999999996"/>
    <n v="5036.4476000000004"/>
    <n v="3121.8564000000001"/>
    <s v="-14.52"/>
    <n v="24.889299999999992"/>
    <n v="1914.5912000000003"/>
  </r>
  <r>
    <s v="PAMPERS BABY FRESH CLEAN W 52 BAG"/>
    <s v=" Proctor &amp; Wager"/>
    <x v="101"/>
    <s v="BAGS"/>
    <s v="ALCOHOL FREE"/>
    <n v="52"/>
    <n v="195.73400000000001"/>
    <n v="242.5813"/>
    <n v="163.20820000000001"/>
    <n v="3936.1988000000001"/>
    <n v="5003.2757000000001"/>
    <n v="3062.0891000000001"/>
    <s v="23.93"/>
    <n v="-46.84729999999999"/>
    <n v="1941.1866"/>
  </r>
  <r>
    <s v="PAMPERS BABY FRESH CLEAN W 52 BAG+DIA 38"/>
    <s v=" Proctor &amp; Wager"/>
    <x v="101"/>
    <s v="BAGS"/>
    <s v="ALCOHOL FREE"/>
    <n v="52"/>
    <n v="0.2492"/>
    <n v="5.8500000000000003E-2"/>
    <n v="0"/>
    <n v="4.6970000000000001"/>
    <n v="1.1557999999999999"/>
    <n v="0"/>
    <s v="-76.52"/>
    <n v="0.19070000000000001"/>
    <n v="1.1557999999999999"/>
  </r>
  <r>
    <s v="PAMPERS BABY FRESH CLEAN W 52 BAG+DIA 40"/>
    <s v=" Proctor &amp; Wager"/>
    <x v="101"/>
    <s v="BAGS"/>
    <s v="ALCOHOL FREE"/>
    <n v="52"/>
    <n v="0.97950000000000004"/>
    <n v="0"/>
    <n v="0"/>
    <n v="23.239000000000001"/>
    <n v="0"/>
    <n v="0"/>
    <s v="0.00"/>
    <n v="0.97950000000000004"/>
    <n v="0"/>
  </r>
  <r>
    <s v="PAMPERS BABY FRESH CLEAN W 52 BAG+DIA 42"/>
    <s v=" Proctor &amp; Wager"/>
    <x v="101"/>
    <s v="BAGS"/>
    <s v="ALCOHOL FREE"/>
    <n v="52"/>
    <n v="1.0518000000000001"/>
    <n v="0"/>
    <n v="0"/>
    <n v="15.4772"/>
    <n v="0"/>
    <n v="0"/>
    <s v="0.00"/>
    <n v="1.0518000000000001"/>
    <n v="0"/>
  </r>
  <r>
    <s v="PAMPERS BABY FRESH CLEAN W 52 BAG+DIA 44"/>
    <s v=" Proctor &amp; Wager"/>
    <x v="101"/>
    <s v="BAGS"/>
    <s v="ALCOHOL FREE"/>
    <n v="52"/>
    <n v="1.23"/>
    <n v="5.5100000000000003E-2"/>
    <n v="0"/>
    <n v="22.518699999999999"/>
    <n v="1.0911"/>
    <n v="0"/>
    <s v="-95.52"/>
    <n v="1.1749000000000001"/>
    <n v="1.0911"/>
  </r>
  <r>
    <s v="PAMPERS BABY FRESH CLEAN W 52 BAG+DIA 51"/>
    <s v=" Proctor &amp; Wager"/>
    <x v="101"/>
    <s v="BAGS"/>
    <s v="ALCOHOL FREE"/>
    <n v="52"/>
    <n v="0.64070000000000005"/>
    <n v="0"/>
    <n v="0"/>
    <n v="15.170299999999999"/>
    <n v="0"/>
    <n v="0"/>
    <s v="0.00"/>
    <n v="0.64070000000000005"/>
    <n v="0"/>
  </r>
  <r>
    <s v="PAMPERS BABY FRESH CLEAN W 52 BAG+DIA 52"/>
    <s v=" Proctor &amp; Wager"/>
    <x v="101"/>
    <s v="BAGS"/>
    <s v="ALCOHOL FREE"/>
    <n v="52"/>
    <n v="0.8125"/>
    <n v="2.2100000000000002E-2"/>
    <n v="0"/>
    <n v="14.451000000000001"/>
    <n v="0.38290000000000002"/>
    <n v="0"/>
    <s v="-97.28"/>
    <n v="0.79039999999999999"/>
    <n v="0.38290000000000002"/>
  </r>
  <r>
    <s v="PAMPERS BABY FRESH CLEAN W 52 BAG+DIA 53"/>
    <s v=" Proctor &amp; Wager"/>
    <x v="101"/>
    <s v="BAGS"/>
    <s v="ALCOHOL FREE"/>
    <n v="52"/>
    <n v="0.40889999999999999"/>
    <n v="7.7899999999999997E-2"/>
    <n v="0"/>
    <n v="9.6999999999999993"/>
    <n v="1.9962"/>
    <n v="0"/>
    <s v="-80.95"/>
    <n v="0.33099999999999996"/>
    <n v="1.9962"/>
  </r>
  <r>
    <s v="PAMPERS BABY FRESH CLEAN W 52 BAG+DIA 54"/>
    <s v=" Proctor &amp; Wager"/>
    <x v="101"/>
    <s v="BAGS"/>
    <s v="ALCOHOL FREE"/>
    <n v="52"/>
    <n v="1.716"/>
    <n v="0"/>
    <n v="0"/>
    <n v="43.815600000000003"/>
    <n v="0"/>
    <n v="0"/>
    <s v="0.00"/>
    <n v="1.716"/>
    <n v="0"/>
  </r>
  <r>
    <s v="PAMPERS BABY FRESH CLEAN W 52 BAG+DIA 58"/>
    <s v=" Proctor &amp; Wager"/>
    <x v="101"/>
    <s v="BAGS"/>
    <s v="ALCOHOL FREE"/>
    <n v="52"/>
    <n v="0.17050000000000001"/>
    <n v="7.7700000000000005E-2"/>
    <n v="0"/>
    <n v="3.5674000000000001"/>
    <n v="1.7087000000000001"/>
    <n v="0"/>
    <s v="-54.43"/>
    <n v="9.2800000000000007E-2"/>
    <n v="1.7087000000000001"/>
  </r>
  <r>
    <s v="PAMPERS BABY FRESH CLEAN W 52 BAG+DIA 60"/>
    <s v=" Proctor &amp; Wager"/>
    <x v="101"/>
    <s v="BAGS"/>
    <s v="ALCOHOL FREE"/>
    <n v="52"/>
    <n v="1.5501"/>
    <n v="0.42659999999999998"/>
    <n v="0.12859999999999999"/>
    <n v="28.959800000000001"/>
    <n v="8.7736999999999998"/>
    <n v="2.5320999999999998"/>
    <s v="-72.48"/>
    <n v="1.1234999999999999"/>
    <n v="6.2416"/>
  </r>
  <r>
    <s v="PAMPERS BABY FRESH CLEAN W 52 BAG+DIA 66"/>
    <s v=" Proctor &amp; Wager"/>
    <x v="101"/>
    <s v="BAGS"/>
    <s v="ALCOHOL FREE"/>
    <n v="52"/>
    <n v="0.83640000000000003"/>
    <n v="0.51139999999999997"/>
    <n v="0"/>
    <n v="18.6389"/>
    <n v="9.5508000000000006"/>
    <n v="0"/>
    <s v="-38.86"/>
    <n v="0.32500000000000007"/>
    <n v="9.5508000000000006"/>
  </r>
  <r>
    <s v="PAMPERS BABY FRESH CLEAN W 52 BAG+DIA 68"/>
    <s v=" Proctor &amp; Wager"/>
    <x v="101"/>
    <s v="BAGS"/>
    <s v="ALCOHOL FREE"/>
    <n v="52"/>
    <n v="0.72089999999999999"/>
    <n v="0"/>
    <n v="0"/>
    <n v="9.8262"/>
    <n v="0"/>
    <n v="0"/>
    <s v="0.00"/>
    <n v="0.72089999999999999"/>
    <n v="0"/>
  </r>
  <r>
    <s v="PAMPERS BABY FRESH CLEAN W 52 BAG+DIA 76"/>
    <s v=" Proctor &amp; Wager"/>
    <x v="101"/>
    <s v="BAGS"/>
    <s v="ALCOHOL FREE"/>
    <n v="52"/>
    <n v="0.48470000000000002"/>
    <n v="0"/>
    <n v="0"/>
    <n v="10.088699999999999"/>
    <n v="0"/>
    <n v="0"/>
    <s v="0.00"/>
    <n v="0.48470000000000002"/>
    <n v="0"/>
  </r>
  <r>
    <s v="PAMPERS BABY FRESH CLEAN W 52 BAG+DIA 78"/>
    <s v=" Proctor &amp; Wager"/>
    <x v="101"/>
    <s v="BAGS"/>
    <s v="ALCOHOL FREE"/>
    <n v="52"/>
    <n v="1.3634999999999999"/>
    <n v="2.1999999999999999E-2"/>
    <n v="0"/>
    <n v="21.971299999999999"/>
    <n v="0.34660000000000002"/>
    <n v="0"/>
    <s v="-98.39"/>
    <n v="1.3414999999999999"/>
    <n v="0.34660000000000002"/>
  </r>
  <r>
    <s v="PAMPERS BABY FRESH CLEAN W 52 BAG+DIA 90"/>
    <s v=" Proctor &amp; Wager"/>
    <x v="101"/>
    <s v="BAGS"/>
    <s v="ALCOHOL FREE"/>
    <n v="52"/>
    <n v="0.2001"/>
    <n v="0"/>
    <n v="0"/>
    <n v="3.1530999999999998"/>
    <n v="0"/>
    <n v="0"/>
    <s v="0.00"/>
    <n v="0.2001"/>
    <n v="0"/>
  </r>
  <r>
    <s v="PAMPERS BABY FRESH CLEAN W 52 BAG+DIA104"/>
    <s v=" Proctor &amp; Wager"/>
    <x v="101"/>
    <s v="BAGS"/>
    <s v="ALCOHOL FREE"/>
    <n v="52"/>
    <n v="0.30409999999999998"/>
    <n v="0"/>
    <n v="0"/>
    <n v="4.4311999999999996"/>
    <n v="0"/>
    <n v="0"/>
    <s v="0.00"/>
    <n v="0.30409999999999998"/>
    <n v="0"/>
  </r>
  <r>
    <s v="PAMPERS BABY FRESH CLEAN W 52 BAG+DIA50"/>
    <s v=" Proctor &amp; Wager"/>
    <x v="101"/>
    <s v="BAGS"/>
    <s v="ALCOHOL FREE"/>
    <n v="52"/>
    <n v="1.4756"/>
    <n v="0.29549999999999998"/>
    <n v="0.13869999999999999"/>
    <n v="38.575499999999998"/>
    <n v="5.6929999999999996"/>
    <n v="2.5320999999999998"/>
    <s v="-79.97"/>
    <n v="1.1800999999999999"/>
    <n v="3.1608999999999998"/>
  </r>
  <r>
    <s v="PAMPERS BABY FRESH CLEAN W 52+DIA PANT38"/>
    <s v=" Proctor &amp; Wager"/>
    <x v="101"/>
    <s v="BAGS"/>
    <s v="ALCOHOL FREE"/>
    <n v="52"/>
    <n v="0.92279999999999995"/>
    <n v="0"/>
    <n v="0"/>
    <n v="21.822199999999999"/>
    <n v="0"/>
    <n v="0"/>
    <s v="0.00"/>
    <n v="0.92279999999999995"/>
    <n v="0"/>
  </r>
  <r>
    <s v="PAMPERS BABY FRESH CLEAN W 6X52 BAG"/>
    <s v=" Proctor &amp; Wager"/>
    <x v="101"/>
    <s v="BAGS"/>
    <s v="ALCOHOL FREE"/>
    <n v="52"/>
    <n v="105.723"/>
    <n v="231.39109999999999"/>
    <n v="190.30779999999999"/>
    <n v="3632.1455999999998"/>
    <n v="7878.6941999999999"/>
    <n v="6167.0902999999998"/>
    <s v="118.87"/>
    <n v="-125.6681"/>
    <n v="1711.6039000000001"/>
  </r>
  <r>
    <s v="PAMPERS BABY FRESH CLEAN W52+DIA ACT6 44"/>
    <s v=" Proctor &amp; Wager"/>
    <x v="101"/>
    <s v="BAGS"/>
    <s v="ALCOHOL FREE"/>
    <n v="52"/>
    <n v="0.97140000000000004"/>
    <n v="3.1E-2"/>
    <n v="0"/>
    <n v="22.952100000000002"/>
    <n v="0.70540000000000003"/>
    <n v="0"/>
    <s v="-96.81"/>
    <n v="0.94040000000000001"/>
    <n v="0.70540000000000003"/>
  </r>
  <r>
    <s v="PAMPERS BABY FRESH CLEAN W52+DIA PANTS60"/>
    <s v=" Proctor &amp; Wager"/>
    <x v="101"/>
    <s v="BAGS"/>
    <s v="ALCOHOL FREE"/>
    <n v="52"/>
    <n v="0.23680000000000001"/>
    <n v="0"/>
    <n v="0"/>
    <n v="4.3052000000000001"/>
    <n v="0"/>
    <n v="0"/>
    <s v="0.00"/>
    <n v="0.23680000000000001"/>
    <n v="0"/>
  </r>
  <r>
    <s v="PAMPERS SENSITIVE PH5.5 2X52 BAG"/>
    <s v=" Proctor &amp; Wager"/>
    <x v="101"/>
    <s v="BAGS"/>
    <s v="SENSITIVE"/>
    <n v="52"/>
    <n v="40.155500000000004"/>
    <n v="53.039099999999998"/>
    <n v="19.640599999999999"/>
    <n v="809.24120000000005"/>
    <n v="1117.5988"/>
    <n v="353.57029999999997"/>
    <s v="32.08"/>
    <n v="-12.883599999999994"/>
    <n v="764.02850000000001"/>
  </r>
  <r>
    <s v="PAMPERS SENSITIVE PH5.5 4X52 BAG"/>
    <s v=" Proctor &amp; Wager"/>
    <x v="101"/>
    <s v="BAGS"/>
    <s v="SENSITIVE"/>
    <n v="52"/>
    <n v="124.0141"/>
    <n v="119.1621"/>
    <n v="72.991100000000003"/>
    <n v="4179.8078999999998"/>
    <n v="4057.9854"/>
    <n v="2439.5360000000001"/>
    <s v="-3.91"/>
    <n v="4.8520000000000039"/>
    <n v="1618.4494"/>
  </r>
  <r>
    <s v="PAMPERS SENSITIVE PH5.5 52 BAG"/>
    <s v=" Proctor &amp; Wager"/>
    <x v="101"/>
    <s v="BAGS"/>
    <s v="SENSITIVE"/>
    <n v="52"/>
    <n v="126.2456"/>
    <n v="161.7927"/>
    <n v="82.616799999999998"/>
    <n v="2585.6873000000001"/>
    <n v="3416.431"/>
    <n v="1611.8206"/>
    <s v="28.16"/>
    <n v="-35.5471"/>
    <n v="1804.6104"/>
  </r>
  <r>
    <s v="PAMPERS SENSITIVE PH5.5 6X52 BAG"/>
    <s v=" Proctor &amp; Wager"/>
    <x v="101"/>
    <s v="BAGS"/>
    <s v="SENSITIVE"/>
    <n v="52"/>
    <n v="95.148099999999999"/>
    <n v="213.16730000000001"/>
    <n v="155.60400000000001"/>
    <n v="3171.4767999999999"/>
    <n v="7264.2154"/>
    <n v="5013.7686000000003"/>
    <s v="124.04"/>
    <n v="-118.01920000000001"/>
    <n v="2250.4467999999997"/>
  </r>
  <r>
    <s v="PAMPERS SENSITIVE 54 BAG KAPAK"/>
    <s v=" Proctor &amp; Wager"/>
    <x v="101"/>
    <s v="BAGS"/>
    <s v="SENSITIVE"/>
    <n v="54"/>
    <n v="19.249199999999998"/>
    <n v="1.4004000000000001"/>
    <n v="0"/>
    <n v="316.69850000000002"/>
    <n v="25.215900000000001"/>
    <n v="0"/>
    <s v="-92.72"/>
    <n v="17.848799999999997"/>
    <n v="25.215900000000001"/>
  </r>
  <r>
    <s v="PAMPERS SENSITIVE 2X56 BAG"/>
    <s v=" Proctor &amp; Wager"/>
    <x v="101"/>
    <s v="BAGS"/>
    <s v="SENSITIVE"/>
    <n v="56"/>
    <n v="0.76639999999999997"/>
    <n v="3.6499999999999998E-2"/>
    <n v="0"/>
    <n v="14.48"/>
    <n v="0.67200000000000004"/>
    <n v="0"/>
    <s v="-95.24"/>
    <n v="0.72989999999999999"/>
    <n v="0.67200000000000004"/>
  </r>
  <r>
    <s v="PAMPERS SENSITIVE 4X56 BAG"/>
    <s v=" Proctor &amp; Wager"/>
    <x v="101"/>
    <s v="BAGS"/>
    <s v="SENSITIVE"/>
    <n v="56"/>
    <n v="0.17649999999999999"/>
    <n v="0"/>
    <n v="0"/>
    <n v="2.9144999999999999"/>
    <n v="0"/>
    <n v="0"/>
    <s v="0.00"/>
    <n v="0.17649999999999999"/>
    <n v="0"/>
  </r>
  <r>
    <s v="PAMPERS SENSITIVE 56 BAG"/>
    <s v=" Proctor &amp; Wager"/>
    <x v="101"/>
    <s v="BAGS"/>
    <s v="SENSITIVE"/>
    <n v="56"/>
    <n v="3.9998"/>
    <n v="2.0327000000000002"/>
    <n v="0.44619999999999999"/>
    <n v="76.599100000000007"/>
    <n v="45.206499999999998"/>
    <n v="9.7993000000000006"/>
    <s v="-49.18"/>
    <n v="1.9670999999999998"/>
    <n v="35.407199999999996"/>
  </r>
  <r>
    <s v="PAMPERS SENSITIVE 56 BAG KAPAK"/>
    <s v=" Proctor &amp; Wager"/>
    <x v="101"/>
    <s v="BAGS"/>
    <s v="SENSITIVE"/>
    <n v="56"/>
    <n v="3.4256000000000002"/>
    <n v="0.1051"/>
    <n v="0"/>
    <n v="52.9163"/>
    <n v="1.5987"/>
    <n v="0"/>
    <s v="-96.93"/>
    <n v="3.3205"/>
    <n v="1.5987"/>
  </r>
  <r>
    <s v="PAMPERS SENSITIVE 56 BAG+DIA PANTS3 60"/>
    <s v=" Proctor &amp; Wager"/>
    <x v="101"/>
    <s v="BAGS"/>
    <s v="SENSITIVE"/>
    <n v="56"/>
    <n v="2.7799999999999998E-2"/>
    <n v="0"/>
    <n v="0"/>
    <n v="0.59"/>
    <n v="0"/>
    <n v="0"/>
    <s v="0.00"/>
    <n v="2.7799999999999998E-2"/>
    <n v="0"/>
  </r>
  <r>
    <s v="PAMPERS SENSITIVE 56 BAG+DIA PANTS4 52"/>
    <s v=" Proctor &amp; Wager"/>
    <x v="101"/>
    <s v="BAGS"/>
    <s v="SENSITIVE"/>
    <n v="56"/>
    <n v="2.0205000000000002"/>
    <n v="6.1100000000000002E-2"/>
    <n v="4.3E-3"/>
    <n v="30.746600000000001"/>
    <n v="0.89600000000000002"/>
    <n v="5.6000000000000001E-2"/>
    <s v="-96.98"/>
    <n v="1.9594000000000003"/>
    <n v="0.84"/>
  </r>
  <r>
    <s v="PAMPERS SENSITIVE 56 BAG+DIA PANTS5 48 1"/>
    <s v=" Proctor &amp; Wager"/>
    <x v="101"/>
    <s v="BAGS"/>
    <s v="SENSITIVE"/>
    <n v="56"/>
    <n v="2.1128999999999998"/>
    <n v="3.0200000000000001E-2"/>
    <n v="0"/>
    <n v="32.116500000000002"/>
    <n v="0.44800000000000001"/>
    <n v="0"/>
    <s v="-98.57"/>
    <n v="2.0827"/>
    <n v="0.44800000000000001"/>
  </r>
  <r>
    <s v="PAMPERS SENSITIVE 56 BAG+DIA PR CARE54"/>
    <s v=" Proctor &amp; Wager"/>
    <x v="101"/>
    <s v="BAGS"/>
    <s v="SENSITIVE"/>
    <n v="56"/>
    <n v="0.03"/>
    <n v="5.8999999999999999E-3"/>
    <n v="0"/>
    <n v="0.67200000000000004"/>
    <n v="0.16800000000000001"/>
    <n v="0"/>
    <s v="-80.33"/>
    <n v="2.41E-2"/>
    <n v="0.16800000000000001"/>
  </r>
  <r>
    <s v="PAMPERS SENSITIVE 56 BAG+DIAPREMCARE3 60"/>
    <s v=" Proctor &amp; Wager"/>
    <x v="101"/>
    <s v="BAGS"/>
    <s v="SENSITIVE"/>
    <n v="56"/>
    <n v="3.5200000000000002E-2"/>
    <n v="0"/>
    <n v="0"/>
    <n v="0.65949999999999998"/>
    <n v="0"/>
    <n v="0"/>
    <s v="0.00"/>
    <n v="3.5200000000000002E-2"/>
    <n v="0"/>
  </r>
  <r>
    <s v="PAMPERS SENSITIVE 56 BAG+DIAPREMCARE5 44"/>
    <s v=" Proctor &amp; Wager"/>
    <x v="101"/>
    <s v="BAGS"/>
    <s v="SENSITIVE"/>
    <n v="56"/>
    <n v="0.17460000000000001"/>
    <n v="5.2699999999999997E-2"/>
    <n v="1.09E-2"/>
    <n v="3.8159000000000001"/>
    <n v="1.4"/>
    <n v="0.28000000000000003"/>
    <s v="-69.82"/>
    <n v="0.12190000000000001"/>
    <n v="1.1199999999999999"/>
  </r>
  <r>
    <s v="PAMPERS SENSITIVE 6X56/2BR FREE BAG"/>
    <s v=" Proctor &amp; Wager"/>
    <x v="101"/>
    <s v="BAGS"/>
    <s v="SENSITIVE"/>
    <n v="56"/>
    <n v="1.0412999999999999"/>
    <n v="0"/>
    <n v="0"/>
    <n v="23.5031"/>
    <n v="0"/>
    <n v="0"/>
    <s v="0.00"/>
    <n v="1.0412999999999999"/>
    <n v="0"/>
  </r>
  <r>
    <s v="PAMPERS SENSITIVE CAMOMILE&amp;ALOE 56 BAG"/>
    <s v=" Proctor &amp; Wager"/>
    <x v="101"/>
    <s v="BAGS"/>
    <s v="SENSITIVE"/>
    <n v="56"/>
    <n v="3.8100000000000002E-2"/>
    <n v="7.4000000000000003E-3"/>
    <n v="1.11E-2"/>
    <n v="0.67200000000000004"/>
    <n v="0.112"/>
    <n v="0.16800000000000001"/>
    <s v="-80.58"/>
    <n v="3.0700000000000002E-2"/>
    <n v="-5.6000000000000008E-2"/>
  </r>
  <r>
    <s v="PAMPERS SENSITIVE SOFTLIKECOTTON 56 BAG"/>
    <s v=" Proctor &amp; Wager"/>
    <x v="101"/>
    <s v="BAGS"/>
    <s v="SENSITIVE"/>
    <n v="56"/>
    <n v="1.0855999999999999"/>
    <n v="0.58120000000000005"/>
    <n v="0"/>
    <n v="19.170200000000001"/>
    <n v="10.2963"/>
    <n v="0"/>
    <s v="-46.46"/>
    <n v="0.50439999999999985"/>
    <n v="10.2963"/>
  </r>
  <r>
    <s v="PAMPERS SENSITIVE W 6X56/336 BAG"/>
    <s v=" Proctor &amp; Wager"/>
    <x v="101"/>
    <s v="BAGS"/>
    <s v="SENSITIVE"/>
    <n v="56"/>
    <n v="0.72109999999999996"/>
    <n v="5.3105000000000002"/>
    <n v="0"/>
    <n v="13.8162"/>
    <n v="130.43450000000001"/>
    <n v="0"/>
    <s v="636.44"/>
    <n v="-4.5894000000000004"/>
    <n v="130.43450000000001"/>
  </r>
  <r>
    <s v="PAMPERS SENSITIVE XXL W 6X56/2BR FR BAG"/>
    <s v=" Proctor &amp; Wager"/>
    <x v="101"/>
    <s v="BAGS"/>
    <s v="SENSITIVE"/>
    <n v="56"/>
    <n v="0.80620000000000003"/>
    <n v="0"/>
    <n v="0"/>
    <n v="18.060500000000001"/>
    <n v="0"/>
    <n v="0"/>
    <s v="0.00"/>
    <n v="0.80620000000000003"/>
    <n v="0"/>
  </r>
  <r>
    <s v="PAMPERS BABY FRESH ALOE W 64 BAG"/>
    <s v=" Proctor &amp; Wager"/>
    <x v="101"/>
    <s v="BAGS"/>
    <s v="ALCOHOL FREE"/>
    <n v="64"/>
    <n v="15.5359"/>
    <n v="0.67789999999999995"/>
    <n v="0"/>
    <n v="345.3125"/>
    <n v="13.0631"/>
    <n v="0"/>
    <s v="-95.64"/>
    <n v="14.858000000000001"/>
    <n v="13.0631"/>
  </r>
  <r>
    <s v="PAMPERS BABY FRESH CLEAN W 4X64 BAG"/>
    <s v=" Proctor &amp; Wager"/>
    <x v="101"/>
    <s v="BAGS"/>
    <s v="WITHOUT EXTRA PROTECTCARE INDICATION"/>
    <n v="64"/>
    <n v="0.33579999999999999"/>
    <n v="0"/>
    <n v="0"/>
    <n v="9.1472999999999995"/>
    <n v="0"/>
    <n v="0"/>
    <s v="0.00"/>
    <n v="0.33579999999999999"/>
    <n v="0"/>
  </r>
  <r>
    <s v="PAMPERS BABY FRESH CLEAN W 64 BAG"/>
    <s v=" Proctor &amp; Wager"/>
    <x v="101"/>
    <s v="BAGS"/>
    <s v="WITHOUT EXTRA PROTECTCARE INDICATION"/>
    <n v="64"/>
    <n v="27.901900000000001"/>
    <n v="8.1903000000000006"/>
    <n v="0.88470000000000004"/>
    <n v="618.1096"/>
    <n v="185.2071"/>
    <n v="18.353999999999999"/>
    <s v="-70.65"/>
    <n v="19.711600000000001"/>
    <n v="166.85309999999998"/>
  </r>
  <r>
    <s v="PAMPERS BABY FRESH CLEAN W 64 BAG+DIA 42"/>
    <s v=" Proctor &amp; Wager"/>
    <x v="101"/>
    <s v="BAGS"/>
    <s v="WITHOUT EXTRA PROTECTCARE INDICATION"/>
    <n v="64"/>
    <n v="2.58E-2"/>
    <n v="7.9000000000000008E-3"/>
    <n v="0"/>
    <n v="0.57599999999999996"/>
    <n v="0.38400000000000001"/>
    <n v="0"/>
    <s v="-69.38"/>
    <n v="1.7899999999999999E-2"/>
    <n v="0.38400000000000001"/>
  </r>
  <r>
    <s v="PAMPERS BABY FRESH CLEAN W 64 BAG+DIA68"/>
    <s v=" Proctor &amp; Wager"/>
    <x v="101"/>
    <s v="BAGS"/>
    <s v="WITHOUT EXTRA PROTECTCARE INDICATION"/>
    <n v="64"/>
    <n v="0.55289999999999995"/>
    <n v="0.47820000000000001"/>
    <n v="8.14E-2"/>
    <n v="17.2395"/>
    <n v="16.416799999999999"/>
    <n v="2.5183"/>
    <s v="-13.51"/>
    <n v="7.4699999999999933E-2"/>
    <n v="13.898499999999999"/>
  </r>
  <r>
    <s v="PAMPERS BABY FRESH CLEAN W 6X64/384 BAG"/>
    <s v=" Proctor &amp; Wager"/>
    <x v="101"/>
    <s v="BAGS"/>
    <s v="WITHOUT EXTRA PROTECTCARE INDICATION"/>
    <n v="64"/>
    <n v="3.53"/>
    <n v="1.6247"/>
    <n v="0"/>
    <n v="92.468000000000004"/>
    <n v="38.321599999999997"/>
    <n v="0"/>
    <s v="-53.97"/>
    <n v="1.9052999999999998"/>
    <n v="38.321599999999997"/>
  </r>
  <r>
    <s v="PAMPERS BABY FRESH ECONOMY W 2X64 BAG"/>
    <s v=" Proctor &amp; Wager"/>
    <x v="101"/>
    <s v="BAGS"/>
    <s v="ALCOHOL FREE"/>
    <n v="64"/>
    <n v="0.42930000000000001"/>
    <n v="0.67159999999999997"/>
    <n v="0"/>
    <n v="9.3439999999999994"/>
    <n v="12.986599999999999"/>
    <n v="0"/>
    <s v="56.44"/>
    <n v="-0.24229999999999996"/>
    <n v="12.986599999999999"/>
  </r>
  <r>
    <s v="PAMPERS BABYFRESHCLEAN ALOE W 6X64/2BRFR"/>
    <s v=" Proctor &amp; Wager"/>
    <x v="101"/>
    <s v="BAGS"/>
    <s v="WITHOUT EXTRA PROTECTCARE INDICATION"/>
    <n v="64"/>
    <n v="0.48170000000000002"/>
    <n v="0"/>
    <n v="0"/>
    <n v="13.007199999999999"/>
    <n v="0"/>
    <n v="0"/>
    <s v="0.00"/>
    <n v="0.48170000000000002"/>
    <n v="0"/>
  </r>
  <r>
    <s v="PAMPERS BABYFRESHCLEAN W 3X64/1FREE BAG"/>
    <s v=" Proctor &amp; Wager"/>
    <x v="101"/>
    <s v="BAGS"/>
    <s v="WITHOUT EXTRA PROTECTCARE INDICATION"/>
    <n v="64"/>
    <n v="0"/>
    <n v="0"/>
    <n v="8.9800000000000005E-2"/>
    <n v="0"/>
    <n v="0"/>
    <n v="1.9842"/>
    <s v="0.00"/>
    <n v="0"/>
    <n v="-1.9842"/>
  </r>
  <r>
    <s v="PAMPERS CLEAN&amp;PLAY 64 BAG"/>
    <s v=" Proctor &amp; Wager"/>
    <x v="101"/>
    <s v="BAGS"/>
    <s v="WITHOUT EXTRA PROTECTCARE INDICATION"/>
    <n v="64"/>
    <n v="0"/>
    <n v="0"/>
    <n v="0.16889999999999999"/>
    <n v="0"/>
    <n v="0"/>
    <n v="4.3247"/>
    <s v="0.00"/>
    <n v="0"/>
    <n v="-4.3247"/>
  </r>
  <r>
    <s v="PAMPERS NATURAL CLEAN W 64 BAG KAPAK"/>
    <s v=" Proctor &amp; Wager"/>
    <x v="101"/>
    <s v="BAGS"/>
    <s v="WITHOUT EXTRA PROTECTCARE INDICATION"/>
    <n v="64"/>
    <n v="4.2949000000000002"/>
    <n v="0.33839999999999998"/>
    <n v="0"/>
    <n v="87.926599999999993"/>
    <n v="6.2496999999999998"/>
    <n v="0"/>
    <s v="-92.12"/>
    <n v="3.9565000000000001"/>
    <n v="6.2496999999999998"/>
  </r>
  <r>
    <s v="PAMPERS NATURALCLEAN FRAGR.FREE W 64 BAG"/>
    <s v=" Proctor &amp; Wager"/>
    <x v="101"/>
    <s v="BAGS"/>
    <s v="WITHOUT EXTRA PROTECTCARE INDICATION"/>
    <n v="64"/>
    <n v="13.5303"/>
    <n v="2.3972000000000002"/>
    <n v="0.73670000000000002"/>
    <n v="272.4522"/>
    <n v="43.2258"/>
    <n v="13.669700000000001"/>
    <s v="-82.28"/>
    <n v="11.133100000000001"/>
    <n v="29.556100000000001"/>
  </r>
  <r>
    <s v="PAMPERS NATURALLY CLEAN W 4X64 BAG"/>
    <s v=" Proctor &amp; Wager"/>
    <x v="101"/>
    <s v="BAGS"/>
    <s v="WITHOUT EXTRA PROTECTCARE INDICATION"/>
    <n v="64"/>
    <n v="8.9724000000000004"/>
    <n v="2.3250000000000002"/>
    <n v="9.6000000000000002E-2"/>
    <n v="202.00700000000001"/>
    <n v="55.267699999999998"/>
    <n v="2.0488"/>
    <s v="-74.09"/>
    <n v="6.6474000000000002"/>
    <n v="53.218899999999998"/>
  </r>
  <r>
    <s v="PAMPERS NATURALLY CLEAN+CHAMOMILE W 2X64"/>
    <s v=" Proctor &amp; Wager"/>
    <x v="101"/>
    <s v="BAGS"/>
    <s v="WITHOUT EXTRA PROTECTCARE INDICATION"/>
    <n v="64"/>
    <n v="0.24310000000000001"/>
    <n v="0.1048"/>
    <n v="0"/>
    <n v="5.5039999999999996"/>
    <n v="2.3589000000000002"/>
    <n v="0"/>
    <s v="-56.89"/>
    <n v="0.13830000000000001"/>
    <n v="2.3589000000000002"/>
  </r>
  <r>
    <s v="PAMPERS BABY FRESH CLEAN XXL W 80 BAG"/>
    <s v=" Proctor &amp; Wager"/>
    <x v="101"/>
    <s v="BAGS"/>
    <s v="ALCOHOL FREE"/>
    <n v="80"/>
    <n v="299.24509999999998"/>
    <n v="239.40260000000001"/>
    <n v="70.132900000000006"/>
    <n v="8505.4575000000004"/>
    <n v="6543.0663999999997"/>
    <n v="1626.3281999999999"/>
    <s v="-20.00"/>
    <n v="59.842499999999973"/>
    <n v="4916.7381999999998"/>
  </r>
  <r>
    <s v="PAMPERS SENSITIVE PH5.5 XXL 80 BAG"/>
    <s v=" Proctor &amp; Wager"/>
    <x v="101"/>
    <s v="BAGS"/>
    <s v="SENSITIVE"/>
    <n v="80"/>
    <n v="228.9504"/>
    <n v="220.107"/>
    <n v="99.616699999999994"/>
    <n v="6068.1558999999997"/>
    <n v="5788.4287000000004"/>
    <n v="2377.8838000000001"/>
    <s v="-3.86"/>
    <n v="8.8434000000000026"/>
    <n v="3410.5449000000003"/>
  </r>
  <r>
    <s v="PAMPERS HARMONIE COCO AL.FREE 3X42 BAG"/>
    <s v=" Proctor &amp; Wager"/>
    <x v="101"/>
    <s v="BAGS"/>
    <s v="ALCOHOL FREE"/>
    <n v="42"/>
    <n v="0"/>
    <n v="0"/>
    <n v="4.2099999999999999E-2"/>
    <n v="0"/>
    <n v="0"/>
    <n v="0.45"/>
    <s v="0.00"/>
    <n v="0"/>
    <n v="-0.45"/>
  </r>
  <r>
    <s v="PAMPERS HARMONIE COCO AL.FREE 42 BAG"/>
    <s v=" Proctor &amp; Wager"/>
    <x v="101"/>
    <s v="BAGS"/>
    <s v="ALCOHOL FREE"/>
    <n v="42"/>
    <n v="0"/>
    <n v="0"/>
    <n v="0.3543"/>
    <n v="0"/>
    <n v="0"/>
    <n v="4.1279000000000003"/>
    <s v="0.00"/>
    <n v="0"/>
    <n v="-4.1279000000000003"/>
  </r>
  <r>
    <s v="PAMPERS PURE COCONUT AL.FREE 3X42 BAG"/>
    <s v=" Proctor &amp; Wager"/>
    <x v="101"/>
    <s v="BAGS"/>
    <s v="ALCOHOL FREE"/>
    <n v="42"/>
    <n v="9.0039999999999996"/>
    <n v="27.005199999999999"/>
    <n v="7.3737000000000004"/>
    <n v="168.55369999999999"/>
    <n v="470.04379999999998"/>
    <n v="117.492"/>
    <s v="199.92"/>
    <n v="-18.001199999999997"/>
    <n v="352.55179999999996"/>
  </r>
  <r>
    <s v="PAMPERS PURE COCONUT AL.FREE 42 BAG"/>
    <s v=" Proctor &amp; Wager"/>
    <x v="101"/>
    <s v="BAGS"/>
    <s v="ALCOHOL FREE"/>
    <n v="42"/>
    <n v="9.5648"/>
    <n v="36.633899999999997"/>
    <n v="14.959"/>
    <n v="136.73179999999999"/>
    <n v="512.46489999999994"/>
    <n v="178.05029999999999"/>
    <s v="283.01"/>
    <n v="-27.069099999999999"/>
    <n v="334.41459999999995"/>
  </r>
  <r>
    <s v="PAMPERS 72 R BAG"/>
    <s v=" Proctor &amp; Wager"/>
    <x v="101"/>
    <s v="BAGS"/>
    <s v="WITHOUT EXTRA PROTECTCARE INDICATION"/>
    <n v="72"/>
    <n v="0.18679999999999999"/>
    <n v="0"/>
    <n v="0"/>
    <n v="4.4957000000000003"/>
    <n v="0"/>
    <n v="0"/>
    <s v="0.00"/>
    <n v="0.18679999999999999"/>
    <n v="0"/>
  </r>
  <r>
    <s v="PAMPERS SENSITIVE 56 BOX"/>
    <s v=" Proctor &amp; Wager"/>
    <x v="101"/>
    <s v="BOX"/>
    <s v="SENSITIVE"/>
    <n v="56"/>
    <n v="0.2319"/>
    <n v="0"/>
    <n v="0"/>
    <n v="3.4005999999999998"/>
    <n v="0"/>
    <n v="0"/>
    <s v="0.00"/>
    <n v="0.2319"/>
    <n v="0"/>
  </r>
  <r>
    <s v="PRIMA HASSAS CILTLER W 56 BAG"/>
    <s v=" Proctor &amp; Wager"/>
    <x v="102"/>
    <s v="BAGS"/>
    <s v="SENSITIVE"/>
    <n v="56"/>
    <n v="0.2671"/>
    <n v="0"/>
    <n v="0"/>
    <n v="5.0296000000000003"/>
    <n v="0"/>
    <n v="0"/>
    <s v="0.00"/>
    <n v="0.2671"/>
    <n v="0"/>
  </r>
  <r>
    <s v="PRIMA  FreshClean ALOE W 64 BAG"/>
    <s v=" Proctor &amp; Wager"/>
    <x v="102"/>
    <s v="BAGS"/>
    <s v="WITHOUT EXTRA PROTECTCARE INDICATION"/>
    <n v="64"/>
    <n v="0.10589999999999999"/>
    <n v="1.12E-2"/>
    <n v="0"/>
    <n v="2.2591999999999999"/>
    <n v="0.2389"/>
    <n v="0"/>
    <s v="-89.42"/>
    <n v="9.4699999999999993E-2"/>
    <n v="0.2389"/>
  </r>
  <r>
    <s v="URIAGE BEBE HYPOALERGENIC W 2X70/1FR BAG"/>
    <s v=" PuigPeak"/>
    <x v="103"/>
    <s v="BAGS"/>
    <s v="ALCOHOL FREE &amp; HYPOALLERGENIC"/>
    <n v="70"/>
    <n v="2.1598999999999999"/>
    <n v="5.1025"/>
    <n v="6.3079000000000001"/>
    <n v="36.4"/>
    <n v="77.862799999999993"/>
    <n v="91.042100000000005"/>
    <s v="136.24"/>
    <n v="-2.9426000000000001"/>
    <n v="-13.179300000000012"/>
  </r>
  <r>
    <s v="URIAGE BEBE HYPOALERGENIC W 70 BAG"/>
    <s v=" PuigPeak"/>
    <x v="103"/>
    <s v="BAGS"/>
    <s v="ALCOHOL FREE &amp; HYPOALLERGENIC"/>
    <n v="70"/>
    <n v="10.1408"/>
    <n v="7.4416000000000002"/>
    <n v="2.3571"/>
    <n v="91.191500000000005"/>
    <n v="64.807599999999994"/>
    <n v="19.349299999999999"/>
    <s v="-26.62"/>
    <n v="2.6992000000000003"/>
    <n v="45.458299999999994"/>
  </r>
  <r>
    <s v="BIMBO&amp;BIMBA CHAMOMILE&amp;ALOE W 80 BAG"/>
    <s v=" QueenTrade LTD"/>
    <x v="104"/>
    <s v="BAGS"/>
    <s v="PH BALANCED"/>
    <n v="80"/>
    <n v="2.9045000000000001"/>
    <n v="0"/>
    <n v="0"/>
    <n v="116.9823"/>
    <n v="0"/>
    <n v="0"/>
    <s v="0.00"/>
    <n v="2.9045000000000001"/>
    <n v="0"/>
  </r>
  <r>
    <s v="BIMBO&amp;BIMBA CHAMOMILE&amp;CALENDULA W 80 BAG"/>
    <s v=" QueenTrade LTD"/>
    <x v="104"/>
    <s v="BAGS"/>
    <s v="WITHOUT EXTRA PROTECTCARE INDICATION"/>
    <n v="80"/>
    <n v="2.9113000000000002"/>
    <n v="0"/>
    <n v="0"/>
    <n v="119.83880000000001"/>
    <n v="0"/>
    <n v="0"/>
    <s v="0.00"/>
    <n v="2.9113000000000002"/>
    <n v="0"/>
  </r>
  <r>
    <s v="BIMBO&amp;BIMBA CHAMOMILE&amp;LAVENDER W 80 BAG"/>
    <s v=" QueenTrade LTD"/>
    <x v="104"/>
    <s v="BAGS"/>
    <s v="WITHOUT EXTRA PROTECTCARE INDICATION"/>
    <n v="80"/>
    <n v="4.2324000000000002"/>
    <n v="0"/>
    <n v="0"/>
    <n v="171.05330000000001"/>
    <n v="0"/>
    <n v="0"/>
    <s v="0.00"/>
    <n v="4.2324000000000002"/>
    <n v="0"/>
  </r>
  <r>
    <s v="BIMBO&amp;BIMBA CHAMOMILE&amp;SMRADLIKA W 80 BAG"/>
    <s v=" QueenTrade LTD"/>
    <x v="104"/>
    <s v="BAGS"/>
    <s v="PH BALANCED"/>
    <n v="80"/>
    <n v="2.6360000000000001"/>
    <n v="0"/>
    <n v="0"/>
    <n v="103.9999"/>
    <n v="0"/>
    <n v="0"/>
    <s v="0.00"/>
    <n v="2.6360000000000001"/>
    <n v="0"/>
  </r>
  <r>
    <s v="VIBELLE BABY RASPBERRY VIT E PH5.5 W 144"/>
    <s v=" QueenTrade LTD"/>
    <x v="105"/>
    <s v="BAGS"/>
    <s v="PH BALANCED"/>
    <n v="144"/>
    <n v="59.2014"/>
    <n v="82.022099999999995"/>
    <n v="31.495899999999999"/>
    <n v="4163.6220999999996"/>
    <n v="5172.0583999999999"/>
    <n v="1931.7985000000001"/>
    <s v="38.55"/>
    <n v="-22.820699999999995"/>
    <n v="3240.2599"/>
  </r>
  <r>
    <s v="VIBELLE BABY ULTRA SENS.ROSE PH5.5 W 144"/>
    <s v=" QueenTrade LTD"/>
    <x v="105"/>
    <s v="BAGS"/>
    <s v="PH BALANCED"/>
    <n v="144"/>
    <n v="6.7272999999999996"/>
    <n v="1.7110000000000001"/>
    <n v="1.5649999999999999"/>
    <n v="473.34"/>
    <n v="112.14570000000001"/>
    <n v="108.86020000000001"/>
    <s v="-74.57"/>
    <n v="5.0162999999999993"/>
    <n v="3.285499999999999"/>
  </r>
  <r>
    <s v="BELUX BABY SENS.CREAM LOTION W 120 BAG"/>
    <s v=" ColorSan"/>
    <x v="106"/>
    <s v="BAGS"/>
    <s v="SENSITIVE"/>
    <n v="120"/>
    <n v="53.944000000000003"/>
    <n v="41.741"/>
    <n v="12.7791"/>
    <n v="3422.2186000000002"/>
    <n v="2176.2671999999998"/>
    <n v="723.71550000000002"/>
    <s v="-22.62"/>
    <n v="12.203000000000003"/>
    <n v="1452.5516999999998"/>
  </r>
  <r>
    <s v="BELUX ULTRA SENSITIVE W 120/48GRATIS BAG"/>
    <s v=" ColorSan"/>
    <x v="106"/>
    <s v="BAGS"/>
    <s v="SENSITIVE"/>
    <n v="72"/>
    <n v="10.5024"/>
    <n v="1.2988"/>
    <n v="0.38090000000000002"/>
    <n v="626.13580000000002"/>
    <n v="67.750100000000003"/>
    <n v="17.785299999999999"/>
    <s v="-87.63"/>
    <n v="9.2035999999999998"/>
    <n v="49.964800000000004"/>
  </r>
  <r>
    <s v="SECKIN PROVITB5 PH5.5 ALC.FREE W 102 BAG"/>
    <s v=" ColorSan"/>
    <x v="107"/>
    <s v="BAGS"/>
    <s v="PH BALANCED"/>
    <n v="102"/>
    <n v="1.4174"/>
    <n v="2.3006000000000002"/>
    <n v="0"/>
    <n v="78.384500000000003"/>
    <n v="113.29300000000001"/>
    <n v="0"/>
    <s v="62.31"/>
    <n v="-0.88320000000000021"/>
    <n v="113.29300000000001"/>
  </r>
  <r>
    <s v="SOFT CARE COTTON VIT ECHAMOMILE W 72 BAG"/>
    <s v=" SanHealth LTD"/>
    <x v="108"/>
    <s v="BAGS"/>
    <s v="HYPOALLERGENIC"/>
    <n v="72"/>
    <n v="2.9096000000000002"/>
    <n v="6.0198"/>
    <n v="5.5109000000000004"/>
    <n v="55.366500000000002"/>
    <n v="108.4705"/>
    <n v="98.710099999999997"/>
    <s v="106.89"/>
    <n v="-3.1101999999999999"/>
    <n v="9.7604000000000042"/>
  </r>
  <r>
    <s v="HOPS P H5.5 W 90/18BONUS ORANJEVI BAG"/>
    <s v=" SaproClean"/>
    <x v="109"/>
    <s v="BAGS"/>
    <s v="PH BALANCED"/>
    <n v="72"/>
    <n v="0"/>
    <n v="0"/>
    <n v="9.1999999999999998E-3"/>
    <n v="0"/>
    <n v="0"/>
    <n v="0.30320000000000003"/>
    <s v="0.00"/>
    <n v="0"/>
    <n v="-0.30320000000000003"/>
  </r>
  <r>
    <s v="DOCTOR WIPES BABY GRAPES W 60 BAG KAPAK"/>
    <s v=" EuroPack Communications SRL"/>
    <x v="110"/>
    <s v="BAGS"/>
    <s v="PH BALANCED"/>
    <n v="60"/>
    <n v="0.35610000000000003"/>
    <n v="0"/>
    <n v="0"/>
    <n v="5.6227"/>
    <n v="0"/>
    <n v="0"/>
    <s v="0.00"/>
    <n v="0.35610000000000003"/>
    <n v="0"/>
  </r>
  <r>
    <s v="DOCTOR WIPES BABY W 72 BAG &amp;&amp;&amp;"/>
    <s v=" EuroPack Communications SRL"/>
    <x v="110"/>
    <s v="BAGS"/>
    <s v="WITHOUT EXTRA PROTECTCARE INDICATION"/>
    <n v="72"/>
    <n v="1.3764000000000001"/>
    <n v="2.7699999999999999E-2"/>
    <n v="0"/>
    <n v="28.943100000000001"/>
    <n v="0.64290000000000003"/>
    <n v="0"/>
    <s v="-97.99"/>
    <n v="1.3487"/>
    <n v="0.64290000000000003"/>
  </r>
  <r>
    <s v="MEDPROFESSIONAL BABYPOWDERARGANOIL W 24"/>
    <s v=" EuroPack Communications SRL"/>
    <x v="111"/>
    <s v="BAGS"/>
    <s v="ALCOHOL FREE"/>
    <n v="24"/>
    <n v="6.7664999999999997"/>
    <n v="0.54779999999999995"/>
    <n v="0"/>
    <n v="162.6651"/>
    <n v="12.7288"/>
    <n v="0"/>
    <s v="-91.90"/>
    <n v="6.2187000000000001"/>
    <n v="12.7288"/>
  </r>
  <r>
    <s v="MED PROFESSIONAL BABY ALOE VERA W 60 BAG"/>
    <s v=" EuroPack Communications SRL"/>
    <x v="111"/>
    <s v="BAGS"/>
    <s v="ALCOHOL FREE"/>
    <n v="60"/>
    <n v="14.513400000000001"/>
    <n v="11.551399999999999"/>
    <n v="8.6715"/>
    <n v="383.46769999999998"/>
    <n v="307.81580000000002"/>
    <n v="255.3304"/>
    <s v="-20.41"/>
    <n v="2.9620000000000015"/>
    <n v="52.485400000000027"/>
  </r>
  <r>
    <s v="MEDPROFESSIONAL BABYGRAPESEEDOIL W 60BAG"/>
    <s v=" EuroPack Communications SRL"/>
    <x v="111"/>
    <s v="BAGS"/>
    <s v="ALCOHOL FREE"/>
    <n v="60"/>
    <n v="17.654699999999998"/>
    <n v="12.539"/>
    <n v="4.6113"/>
    <n v="482.61590000000001"/>
    <n v="340.10579999999999"/>
    <n v="153.12389999999999"/>
    <s v="-28.98"/>
    <n v="5.1156999999999986"/>
    <n v="186.9819"/>
  </r>
  <r>
    <s v="SPRING LINE  FreshClean W 120 BAG &amp;&amp;&amp;"/>
    <s v=" EuroPack Communications SRL"/>
    <x v="112"/>
    <s v="BAGS"/>
    <s v="WITHOUT EXTRA PROTECTCARE INDICATION"/>
    <n v="120"/>
    <n v="20.231999999999999"/>
    <n v="11.313700000000001"/>
    <n v="0"/>
    <n v="583.67819999999995"/>
    <n v="345.19709999999998"/>
    <n v="0"/>
    <s v="-44.08"/>
    <n v="8.9182999999999986"/>
    <n v="345.19709999999998"/>
  </r>
  <r>
    <s v="GIAN BABY CREAM PH5.5 W 120 BAG"/>
    <s v=" SigmaKappaZeta Co."/>
    <x v="113"/>
    <s v="BAGS"/>
    <s v="PH BALANCED"/>
    <n v="120"/>
    <n v="0"/>
    <n v="20.586300000000001"/>
    <n v="29.262499999999999"/>
    <n v="0"/>
    <n v="1265.0245"/>
    <n v="1657.2372"/>
    <s v="0.00"/>
    <n v="-20.586300000000001"/>
    <n v="-392.21270000000004"/>
  </r>
  <r>
    <s v="GIAN BABY CREAM PH5.5 W 72 BAG"/>
    <s v=" SigmaKappaZeta Co."/>
    <x v="113"/>
    <s v="BAGS"/>
    <s v="PH BALANCED"/>
    <n v="72"/>
    <n v="26.3474"/>
    <n v="52.005499999999998"/>
    <n v="32.744900000000001"/>
    <n v="920.46799999999996"/>
    <n v="1819.1769999999999"/>
    <n v="1062.7058999999999"/>
    <s v="97.38"/>
    <n v="-25.658099999999997"/>
    <n v="756.47109999999998"/>
  </r>
  <r>
    <s v="SEBAMED BABYCLEANSING EXTRASOFT W 72 BAG"/>
    <s v=" SebaMedicines"/>
    <x v="114"/>
    <s v="BAGS"/>
    <s v="WITHOUT EXTRA PROTECTCARE INDICATION"/>
    <n v="72"/>
    <n v="0.1701"/>
    <n v="0.71989999999999998"/>
    <n v="4.9299999999999997E-2"/>
    <n v="1.008"/>
    <n v="3.8765000000000001"/>
    <n v="0.28799999999999998"/>
    <s v="323.22"/>
    <n v="-0.54979999999999996"/>
    <n v="3.5885000000000002"/>
  </r>
  <r>
    <s v="SEBAMED BABY OIL WIPES W 70 BOX"/>
    <s v=" SebaMedicines"/>
    <x v="114"/>
    <s v="BOX"/>
    <s v="WITHOUT EXTRA PROTECTCARE INDICATION"/>
    <n v="70"/>
    <n v="0.8034"/>
    <n v="0.64690000000000003"/>
    <n v="0.2069"/>
    <n v="3.92"/>
    <n v="3.48"/>
    <n v="1.1399999999999999"/>
    <s v="-19.48"/>
    <n v="0.15649999999999997"/>
    <n v="2.34"/>
  </r>
  <r>
    <s v="MAMMI PH5.5 ALC.FREE W 72 BAG SINI"/>
    <s v=" SignalTrade"/>
    <x v="115"/>
    <s v="BAGS"/>
    <s v="PH BALANCED"/>
    <n v="72"/>
    <n v="16.393699999999999"/>
    <n v="13.5199"/>
    <n v="5.5843999999999996"/>
    <n v="841.14940000000001"/>
    <n v="693.07759999999996"/>
    <n v="305.17070000000001"/>
    <s v="-17.53"/>
    <n v="2.8737999999999992"/>
    <n v="387.90689999999995"/>
  </r>
  <r>
    <s v="MAMMI PH5.5 ALC.FREE W 72 BAG ZELENI"/>
    <s v=" SignalTrade"/>
    <x v="115"/>
    <s v="BAGS"/>
    <s v="PH BALANCED"/>
    <n v="72"/>
    <n v="2.1175000000000002"/>
    <n v="0.66620000000000001"/>
    <n v="0"/>
    <n v="137.34479999999999"/>
    <n v="41.348700000000001"/>
    <n v="0"/>
    <s v="-68.54"/>
    <n v="1.4513000000000003"/>
    <n v="41.348700000000001"/>
  </r>
  <r>
    <s v="ASALI BABY ULTRA SOFT VIT.E W 120 BAG"/>
    <s v=" SepaTextiles"/>
    <x v="116"/>
    <s v="BAGS"/>
    <s v="PH BALANCED"/>
    <n v="120"/>
    <n v="1.9984999999999999"/>
    <n v="3.2300000000000002E-2"/>
    <n v="0"/>
    <n v="141.71469999999999"/>
    <n v="1.9971000000000001"/>
    <n v="0"/>
    <s v="-98.38"/>
    <n v="1.9661999999999999"/>
    <n v="1.9971000000000001"/>
  </r>
  <r>
    <s v="COTTON SOFT CHAMOMILE ALC.FREE W 100 BAG"/>
    <s v=" SepaTextiles"/>
    <x v="117"/>
    <s v="BAGS"/>
    <s v="ALCOHOL FREE"/>
    <n v="100"/>
    <n v="136.17420000000001"/>
    <n v="152.24180000000001"/>
    <n v="70.924899999999994"/>
    <n v="7155.8876"/>
    <n v="7606.2596000000003"/>
    <n v="3236.7058000000002"/>
    <s v="11.80"/>
    <n v="-16.067599999999999"/>
    <n v="4369.5537999999997"/>
  </r>
  <r>
    <s v="COTTON SOFT PH5.5 W 120 BAG KAPAK"/>
    <s v=" SepaTextiles"/>
    <x v="117"/>
    <s v="BAGS"/>
    <s v="PH BALANCED"/>
    <n v="120"/>
    <n v="166.38550000000001"/>
    <n v="154.19909999999999"/>
    <n v="78.409199999999998"/>
    <n v="8805.9477000000006"/>
    <n v="8032.0802000000003"/>
    <n v="3983.7687000000001"/>
    <s v="-7.32"/>
    <n v="12.18640000000002"/>
    <n v="4048.3115000000003"/>
  </r>
  <r>
    <s v="COTTON SOFT PH5.5 W 72 BAG KAPAK"/>
    <s v=" SepaTextiles"/>
    <x v="117"/>
    <s v="BAGS"/>
    <s v="PH BALANCED"/>
    <n v="72"/>
    <n v="7.4499999999999997E-2"/>
    <n v="0"/>
    <n v="0"/>
    <n v="5.2851999999999997"/>
    <n v="0"/>
    <n v="0"/>
    <s v="0.00"/>
    <n v="7.4499999999999997E-2"/>
    <n v="0"/>
  </r>
  <r>
    <s v="COTTON SOFT W 72 BAG"/>
    <s v=" SepaTextiles"/>
    <x v="117"/>
    <s v="BAGS"/>
    <s v="WITHOUT EXTRA PROTECTCARE INDICATION"/>
    <n v="72"/>
    <n v="4.2912999999999997"/>
    <n v="3.2158000000000002"/>
    <n v="0.39529999999999998"/>
    <n v="253.55109999999999"/>
    <n v="179.24690000000001"/>
    <n v="19.092600000000001"/>
    <s v="-25.06"/>
    <n v="1.0754999999999995"/>
    <n v="160.15430000000001"/>
  </r>
  <r>
    <s v="ELVIM BABY JUMBO SENSITIVE W 120 BAG"/>
    <s v=" SepaTextiles"/>
    <x v="118"/>
    <s v="BAGS"/>
    <s v="SENSITIVE"/>
    <n v="120"/>
    <n v="12.5473"/>
    <n v="21.5989"/>
    <n v="10.3498"/>
    <n v="734.85479999999995"/>
    <n v="1234.4389000000001"/>
    <n v="587.04769999999996"/>
    <s v="72.14"/>
    <n v="-9.0516000000000005"/>
    <n v="647.39120000000014"/>
  </r>
  <r>
    <s v="ELVIM ULTRA SENSITIVE VIT E&amp;B5 W 70 BAG"/>
    <s v=" SepaTextiles"/>
    <x v="118"/>
    <s v="BAGS"/>
    <s v="SENSITIVE"/>
    <n v="70"/>
    <n v="0.68669999999999998"/>
    <n v="0"/>
    <n v="0"/>
    <n v="52.465899999999998"/>
    <n v="0"/>
    <n v="0"/>
    <s v="0.00"/>
    <n v="0.68669999999999998"/>
    <n v="0"/>
  </r>
  <r>
    <s v="ELVIM BABY ULTRASENSITIVE LOTION&amp;VITE 72"/>
    <s v=" SepaTextiles"/>
    <x v="118"/>
    <s v="BAGS"/>
    <s v="SENSITIVE"/>
    <n v="72"/>
    <n v="37.213999999999999"/>
    <n v="7.2126999999999999"/>
    <n v="0"/>
    <n v="2501.2190000000001"/>
    <n v="451.55340000000001"/>
    <n v="0"/>
    <s v="-80.62"/>
    <n v="30.001300000000001"/>
    <n v="451.55340000000001"/>
  </r>
  <r>
    <s v="ELVIM BABY ULTRASENSITIVE LOTION&amp;VITE 90"/>
    <s v=" SepaTextiles"/>
    <x v="118"/>
    <s v="BAGS"/>
    <s v="SENSITIVE"/>
    <n v="90"/>
    <n v="2.7111999999999998"/>
    <n v="0"/>
    <n v="0"/>
    <n v="136.8194"/>
    <n v="0"/>
    <n v="0"/>
    <s v="0.00"/>
    <n v="2.7111999999999998"/>
    <n v="0"/>
  </r>
  <r>
    <s v="FLAMINGO BABY ULTRASENS.LOTION&amp;VITE 70 B"/>
    <s v=" SepaTextiles"/>
    <x v="119"/>
    <s v="BAGS"/>
    <s v="SENSITIVE"/>
    <n v="70"/>
    <n v="0"/>
    <n v="19.032699999999998"/>
    <n v="19.713699999999999"/>
    <n v="0"/>
    <n v="1111.0531000000001"/>
    <n v="1063.3096"/>
    <s v="0.00"/>
    <n v="-19.032699999999998"/>
    <n v="47.74350000000004"/>
  </r>
  <r>
    <s v="INCI FRESH VITE&amp;PROVITB5 ALC.FREE W 100"/>
    <s v=" SepaTextiles"/>
    <x v="120"/>
    <s v="BAGS"/>
    <s v="ALCOHOL FREE"/>
    <n v="100"/>
    <n v="1.0042"/>
    <n v="0"/>
    <n v="0"/>
    <n v="76.638000000000005"/>
    <n v="0"/>
    <n v="0"/>
    <s v="0.00"/>
    <n v="1.0042"/>
    <n v="0"/>
  </r>
  <r>
    <s v="INCI FRESH VITE&amp;PROVITB5 PH5.5 W 120 BAG"/>
    <s v=" SepaTextiles"/>
    <x v="120"/>
    <s v="BAGS"/>
    <s v="PH BALANCED"/>
    <n v="120"/>
    <n v="251.465"/>
    <n v="145.75579999999999"/>
    <n v="77.822699999999998"/>
    <n v="15122.0514"/>
    <n v="8717.0684000000001"/>
    <n v="4462.7493999999997"/>
    <s v="-42.04"/>
    <n v="105.70920000000001"/>
    <n v="4254.3190000000004"/>
  </r>
  <r>
    <s v="INCI FRESH ULTRASOFT VITE&amp;PROVITB5 W 144"/>
    <s v=" SepaTextiles"/>
    <x v="120"/>
    <s v="BAGS"/>
    <s v="ALCOHOL FREE"/>
    <n v="144"/>
    <n v="15.856"/>
    <n v="22.015000000000001"/>
    <n v="3.4060000000000001"/>
    <n v="1023.9475"/>
    <n v="1391.8684000000001"/>
    <n v="229.50649999999999"/>
    <s v="38.84"/>
    <n v="-6.1590000000000007"/>
    <n v="1162.3619000000001"/>
  </r>
  <r>
    <s v="INCI FRESH VITE&amp;PROVITB5 PH5.5 W 60 BAG"/>
    <s v=" SepaTextiles"/>
    <x v="120"/>
    <s v="BAGS"/>
    <s v="PH BALANCED"/>
    <n v="60"/>
    <n v="0"/>
    <n v="0"/>
    <n v="0.28920000000000001"/>
    <n v="0"/>
    <n v="0"/>
    <n v="17.3521"/>
    <s v="0.00"/>
    <n v="0"/>
    <n v="-17.3521"/>
  </r>
  <r>
    <s v="INCI FRESH VITE&amp;PROVITB5 PH5.5 W 72 BAG"/>
    <s v=" SepaTextiles"/>
    <x v="120"/>
    <s v="BAGS"/>
    <s v="PH BALANCED"/>
    <n v="72"/>
    <n v="2.5535999999999999"/>
    <n v="3.8500999999999999"/>
    <n v="0.82650000000000001"/>
    <n v="126.3817"/>
    <n v="174.249"/>
    <n v="46.762"/>
    <s v="50.77"/>
    <n v="-1.2965"/>
    <n v="127.48699999999999"/>
  </r>
  <r>
    <s v="INCI FRESH VITE&amp;PROVITB5 PH5.5 W 90/18FR"/>
    <s v=" SepaTextiles"/>
    <x v="120"/>
    <s v="BAGS"/>
    <s v="PH BALANCED"/>
    <n v="72"/>
    <n v="0"/>
    <n v="0.25659999999999999"/>
    <n v="0"/>
    <n v="0"/>
    <n v="13.196899999999999"/>
    <n v="0"/>
    <s v="0.00"/>
    <n v="-0.25659999999999999"/>
    <n v="13.196899999999999"/>
  </r>
  <r>
    <s v="SEPTONA CALM NCARE CHAMOM BABY 12 W BAG"/>
    <s v=" SeptOn SA"/>
    <x v="121"/>
    <s v="BAGS"/>
    <s v="ALCOHOL FREE"/>
    <n v="12"/>
    <n v="0"/>
    <n v="0.5504"/>
    <n v="0.74670000000000003"/>
    <n v="0"/>
    <n v="6.7556000000000003"/>
    <n v="9.0073000000000008"/>
    <s v="0.00"/>
    <n v="-0.5504"/>
    <n v="-2.2517000000000005"/>
  </r>
  <r>
    <s v="SEPTONA ALOE VERA BABY ALC.FREE 20 BAG"/>
    <s v=" SeptOn SA"/>
    <x v="121"/>
    <s v="BAGS"/>
    <s v="ALCOHOL FREE"/>
    <n v="20"/>
    <n v="4.7511999999999999"/>
    <n v="3.7549000000000001"/>
    <n v="1.1405000000000001"/>
    <n v="70.328999999999994"/>
    <n v="55.465600000000002"/>
    <n v="16.475899999999999"/>
    <s v="-20.97"/>
    <n v="0.99629999999999974"/>
    <n v="38.989699999999999"/>
  </r>
  <r>
    <s v="SEPTONA CHAMOMILE BABY 20 W BAG"/>
    <s v=" SeptOn SA"/>
    <x v="121"/>
    <s v="BAGS"/>
    <s v="WITHOUT EXTRA PROTECTCARE INDICATION"/>
    <n v="20"/>
    <n v="1.23E-2"/>
    <n v="2.7799999999999998E-2"/>
    <n v="0"/>
    <n v="0.18"/>
    <n v="0.46179999999999999"/>
    <n v="0"/>
    <s v="126.02"/>
    <n v="-1.5499999999999998E-2"/>
    <n v="0.46179999999999999"/>
  </r>
  <r>
    <s v="SEPTONA SENSITIVE ALMOND&amp;MILK W 20 BAG"/>
    <s v=" SeptOn SA"/>
    <x v="121"/>
    <s v="BAGS"/>
    <s v="SENSITIVE"/>
    <n v="20"/>
    <n v="11.1968"/>
    <n v="6.3734000000000002"/>
    <n v="1.3038000000000001"/>
    <n v="170.3914"/>
    <n v="94.576999999999998"/>
    <n v="19.252400000000002"/>
    <s v="-43.08"/>
    <n v="4.8233999999999995"/>
    <n v="75.324600000000004"/>
  </r>
  <r>
    <s v="SEPTONA SENSITIVE CALMN CARE W 54 BAG"/>
    <s v=" SeptOn SA"/>
    <x v="121"/>
    <s v="BAGS"/>
    <s v="SENSITIVE"/>
    <n v="54"/>
    <n v="0"/>
    <n v="0.89970000000000006"/>
    <n v="2.4813999999999998"/>
    <n v="0"/>
    <n v="21.057300000000001"/>
    <n v="55.505499999999998"/>
    <s v="0.00"/>
    <n v="-0.89970000000000006"/>
    <n v="-34.4482"/>
  </r>
  <r>
    <s v="SEPTONA CALM NCARE PANTENOL W 57 BAG"/>
    <s v=" SeptOn SA"/>
    <x v="121"/>
    <s v="BAGS"/>
    <s v="ALCOHOL FREE"/>
    <n v="57"/>
    <n v="2.3999999999999998E-3"/>
    <n v="0"/>
    <n v="0"/>
    <n v="5.7000000000000002E-2"/>
    <n v="0"/>
    <n v="0"/>
    <s v="0.00"/>
    <n v="2.3999999999999998E-3"/>
    <n v="0"/>
  </r>
  <r>
    <s v="SEPTONA ALOE VERA BABY 64 BAG"/>
    <s v=" SeptOn SA"/>
    <x v="121"/>
    <s v="BAGS"/>
    <s v="WITHOUT EXTRA PROTECTCARE INDICATION"/>
    <n v="64"/>
    <n v="0.22650000000000001"/>
    <n v="0"/>
    <n v="0"/>
    <n v="7.2465999999999999"/>
    <n v="0"/>
    <n v="0"/>
    <s v="0.00"/>
    <n v="0.22650000000000001"/>
    <n v="0"/>
  </r>
  <r>
    <s v="SEPTONA CHAMOMILE BABY 3X64/1GR W BAG"/>
    <s v=" SeptOn SA"/>
    <x v="121"/>
    <s v="BAGS"/>
    <s v="PH BALANCED"/>
    <n v="64"/>
    <n v="0.74809999999999999"/>
    <n v="0"/>
    <n v="0"/>
    <n v="25.650500000000001"/>
    <n v="0"/>
    <n v="0"/>
    <s v="0.00"/>
    <n v="0.74809999999999999"/>
    <n v="0"/>
  </r>
  <r>
    <s v="SEPTONA CHAMOMILE BABY 64 W BAG"/>
    <s v=" SeptOn SA"/>
    <x v="121"/>
    <s v="BAGS"/>
    <s v="PH BALANCED"/>
    <n v="64"/>
    <n v="7.1352000000000002"/>
    <n v="0.98229999999999995"/>
    <n v="0.17499999999999999"/>
    <n v="199.79089999999999"/>
    <n v="31.398199999999999"/>
    <n v="5.5553999999999997"/>
    <s v="-86.23"/>
    <n v="6.1529000000000007"/>
    <n v="25.8428"/>
  </r>
  <r>
    <s v="SEPTONA CHAMOMILE BABY 64 W BAG KAPAK"/>
    <s v=" SeptOn SA"/>
    <x v="121"/>
    <s v="BAGS"/>
    <s v="PH BALANCED"/>
    <n v="64"/>
    <n v="38.636499999999998"/>
    <n v="25.403500000000001"/>
    <n v="9.4920000000000009"/>
    <n v="1064.7156"/>
    <n v="712.85350000000005"/>
    <n v="244.268"/>
    <s v="-34.25"/>
    <n v="13.232999999999997"/>
    <n v="468.58550000000002"/>
  </r>
  <r>
    <s v="SEPTONA SENSITIVE ALMOND&amp;MILK W 64 BAG"/>
    <s v=" SeptOn SA"/>
    <x v="121"/>
    <s v="BAGS"/>
    <s v="SENSITIVE"/>
    <n v="64"/>
    <n v="3.0739999999999998"/>
    <n v="0.314"/>
    <n v="6.4199999999999993E-2"/>
    <n v="79.571700000000007"/>
    <n v="7.3994999999999997"/>
    <n v="1.5809"/>
    <s v="-89.79"/>
    <n v="2.76"/>
    <n v="5.8186"/>
  </r>
  <r>
    <s v="SEPTONA SENSITIVE CALMN CARE W 64 BAG"/>
    <s v=" SeptOn SA"/>
    <x v="121"/>
    <s v="BAGS"/>
    <s v="SENSITIVE"/>
    <n v="64"/>
    <n v="57.373899999999999"/>
    <n v="28.978999999999999"/>
    <n v="4.5244999999999997"/>
    <n v="1605.2121"/>
    <n v="798.29169999999999"/>
    <n v="128.11799999999999"/>
    <s v="-49.49"/>
    <n v="28.3949"/>
    <n v="670.17370000000005"/>
  </r>
  <r>
    <s v="SEPTONA MILD FRAGANCE ALC.FREE W 72 BAG"/>
    <s v=" SeptOn SA"/>
    <x v="121"/>
    <s v="BAGS"/>
    <s v="ALCOHOL FREE"/>
    <n v="72"/>
    <n v="0.84319999999999995"/>
    <n v="0"/>
    <n v="0"/>
    <n v="38.896500000000003"/>
    <n v="0"/>
    <n v="0"/>
    <s v="0.00"/>
    <n v="0.84319999999999995"/>
    <n v="0"/>
  </r>
  <r>
    <s v="SEPTONA CALM NCARE PANTENOL W 75 BAG"/>
    <s v=" SeptOn SA"/>
    <x v="121"/>
    <s v="BAGS"/>
    <s v="ALCOHOL FREE"/>
    <n v="75"/>
    <n v="0.32700000000000001"/>
    <n v="7.9399999999999998E-2"/>
    <n v="0"/>
    <n v="8.1380999999999997"/>
    <n v="2.0009000000000001"/>
    <n v="0"/>
    <s v="-75.72"/>
    <n v="0.24760000000000001"/>
    <n v="2.0009000000000001"/>
  </r>
  <r>
    <s v="SEPTONA CALMN CARE ALOE VERA W 80 BAG"/>
    <s v=" SeptOn SA"/>
    <x v="121"/>
    <s v="BAGS"/>
    <s v="ALCOHOL FREE"/>
    <n v="80"/>
    <n v="30.607399999999998"/>
    <n v="87.617999999999995"/>
    <n v="25.586099999999998"/>
    <n v="1468.2443000000001"/>
    <n v="4062.0709999999999"/>
    <n v="1119.9051999999999"/>
    <s v="186.26"/>
    <n v="-57.010599999999997"/>
    <n v="2942.1657999999998"/>
  </r>
  <r>
    <s v="IASSMIN BABY CREAM PH5.5 W 72 BAG"/>
    <s v=" LovelyCo"/>
    <x v="122"/>
    <s v="BAGS"/>
    <s v="PH BALANCED"/>
    <n v="72"/>
    <n v="0.26200000000000001"/>
    <n v="0.1656"/>
    <n v="0"/>
    <n v="18.860299999999999"/>
    <n v="11.920500000000001"/>
    <n v="0"/>
    <s v="-36.79"/>
    <n v="9.6400000000000013E-2"/>
    <n v="11.920500000000001"/>
  </r>
  <r>
    <s v="JUNIOR&amp;TOMMY SENSITIVE W 120 BAG KAPAK"/>
    <s v=" LovelyCo"/>
    <x v="123"/>
    <s v="BAGS"/>
    <s v="SENSITIVE"/>
    <n v="120"/>
    <n v="8.2482000000000006"/>
    <n v="0.97330000000000005"/>
    <n v="0"/>
    <n v="505.78250000000003"/>
    <n v="58.400799999999997"/>
    <n v="0"/>
    <s v="-88.20"/>
    <n v="7.2749000000000006"/>
    <n v="58.400799999999997"/>
  </r>
  <r>
    <s v="NIKI BABY ALC.FREE W 130/10FR BAG KAPAK"/>
    <s v=" LovelyCo"/>
    <x v="124"/>
    <s v="BAGS"/>
    <s v="ALCOHOL FREE"/>
    <n v="120"/>
    <n v="5.7763"/>
    <n v="9.2917000000000005"/>
    <n v="0.95250000000000001"/>
    <n v="311.05720000000002"/>
    <n v="539.97619999999995"/>
    <n v="61.781700000000001"/>
    <s v="60.86"/>
    <n v="-3.5154000000000005"/>
    <n v="478.19449999999995"/>
  </r>
  <r>
    <s v="PEPINO BABY P H5.5 W 120/20FREE BAG"/>
    <s v=" LovelyCo"/>
    <x v="125"/>
    <s v="BAGS"/>
    <s v="PH BALANCED"/>
    <n v="100"/>
    <n v="55.7286"/>
    <n v="53.311300000000003"/>
    <n v="19.850100000000001"/>
    <n v="3644.6801999999998"/>
    <n v="3675.9913999999999"/>
    <n v="1253.7541000000001"/>
    <s v="-4.34"/>
    <n v="2.4172999999999973"/>
    <n v="2422.2372999999998"/>
  </r>
  <r>
    <s v="PEPINO BABY P H5.5 W 130/10FREE BAG"/>
    <s v=" LovelyCo"/>
    <x v="125"/>
    <s v="BAGS"/>
    <s v="ALCOHOL FREE"/>
    <n v="120"/>
    <n v="0"/>
    <n v="4.4955999999999996"/>
    <n v="0"/>
    <n v="0"/>
    <n v="365.2654"/>
    <n v="0"/>
    <s v="0.00"/>
    <n v="-4.4955999999999996"/>
    <n v="365.2654"/>
  </r>
  <r>
    <s v="PEPINO BABY SOFT&amp;LUX P H5.5 W 70 BAG"/>
    <s v=" LovelyCo"/>
    <x v="125"/>
    <s v="BAGS"/>
    <s v="PH BALANCED"/>
    <n v="70"/>
    <n v="5.5199999999999999E-2"/>
    <n v="0"/>
    <n v="0"/>
    <n v="3.36"/>
    <n v="0"/>
    <n v="0"/>
    <s v="0.00"/>
    <n v="5.5199999999999999E-2"/>
    <n v="0"/>
  </r>
  <r>
    <s v="RENKLI MAGIC P H5.5 W 120 BAG KAPAK"/>
    <s v=" LovelyCo"/>
    <x v="126"/>
    <s v="BAGS"/>
    <s v="PH BALANCED"/>
    <n v="120"/>
    <n v="5.3959999999999999"/>
    <n v="7.0095999999999998"/>
    <n v="3.0608"/>
    <n v="290.08819999999997"/>
    <n v="393.84969999999998"/>
    <n v="158.0343"/>
    <s v="29.90"/>
    <n v="-1.6135999999999999"/>
    <n v="235.81539999999998"/>
  </r>
  <r>
    <s v="RENKLI PREMIUM BABY ALC.FREE W 130 BAG"/>
    <s v=" LovelyCo"/>
    <x v="126"/>
    <s v="BAGS"/>
    <s v="ALCOHOL FREE"/>
    <n v="130"/>
    <n v="39.775100000000002"/>
    <n v="29.160399999999999"/>
    <n v="6.0876999999999999"/>
    <n v="2342.4566"/>
    <n v="1534.7882999999999"/>
    <n v="287.5865"/>
    <s v="-26.69"/>
    <n v="10.614700000000003"/>
    <n v="1247.2017999999998"/>
  </r>
  <r>
    <s v="RENKLI BABY KIDS P H5.5 W 72 BAG"/>
    <s v=" LovelyCo"/>
    <x v="126"/>
    <s v="BAGS"/>
    <s v="PH BALANCED"/>
    <n v="72"/>
    <n v="73.361099999999993"/>
    <n v="57.603700000000003"/>
    <n v="12.2355"/>
    <n v="4307.2969000000003"/>
    <n v="3235.6705999999999"/>
    <n v="650.06870000000004"/>
    <s v="-21.48"/>
    <n v="15.75739999999999"/>
    <n v="2585.6018999999997"/>
  </r>
  <r>
    <s v="RENKLI BABY KIDS P H5.5 W 72 BAG KAPAK"/>
    <s v=" LovelyCo"/>
    <x v="126"/>
    <s v="BAGS"/>
    <s v="PH BALANCED"/>
    <n v="72"/>
    <n v="7.6637000000000004"/>
    <n v="5.7187999999999999"/>
    <n v="3.4293999999999998"/>
    <n v="412.75630000000001"/>
    <n v="314.68810000000002"/>
    <n v="185.42320000000001"/>
    <s v="-25.38"/>
    <n v="1.9449000000000005"/>
    <n v="129.26490000000001"/>
  </r>
  <r>
    <s v="RENKLI ZOO ANTIBACTERIAL W 72 BAG KAPAK"/>
    <s v=" LovelyCo"/>
    <x v="126"/>
    <s v="BAGS"/>
    <s v="PH BALANCED"/>
    <n v="72"/>
    <n v="97.800700000000006"/>
    <n v="61.680799999999998"/>
    <n v="23.825800000000001"/>
    <n v="4426.3535000000002"/>
    <n v="2861.6763999999998"/>
    <n v="975.65369999999996"/>
    <s v="-36.93"/>
    <n v="36.119900000000008"/>
    <n v="1886.0227"/>
  </r>
  <r>
    <s v="RENKLI BABY LUX PH5.5 W 2X80 BAG"/>
    <s v=" LovelyCo"/>
    <x v="126"/>
    <s v="BAGS"/>
    <s v="PH BALANCED"/>
    <n v="80"/>
    <n v="137.74010000000001"/>
    <n v="71.2029"/>
    <n v="36.735799999999998"/>
    <n v="9592.0316999999995"/>
    <n v="4713.7775000000001"/>
    <n v="2155.8667"/>
    <s v="-48.31"/>
    <n v="66.537200000000013"/>
    <n v="2557.9108000000001"/>
  </r>
  <r>
    <s v="RENKLI BABY LUX W 80 BAG KAPACHE"/>
    <s v=" LovelyCo"/>
    <x v="126"/>
    <s v="BAGS"/>
    <s v="ALCOHOL FREE"/>
    <n v="80"/>
    <n v="34.508099999999999"/>
    <n v="21.348800000000001"/>
    <n v="13.753299999999999"/>
    <n v="2073.3334"/>
    <n v="1342.2397000000001"/>
    <n v="736.28099999999995"/>
    <s v="-38.13"/>
    <n v="13.159299999999998"/>
    <n v="605.95870000000014"/>
  </r>
  <r>
    <s v="SWEET BABY ALOEVERA PH5.5 W 72 BAG KAPAK"/>
    <s v=" LovelyCo"/>
    <x v="127"/>
    <s v="BAGS"/>
    <s v="PH BALANCED"/>
    <n v="72"/>
    <n v="0"/>
    <n v="3.1300000000000001E-2"/>
    <n v="0"/>
    <n v="0"/>
    <n v="1.2579"/>
    <n v="0"/>
    <s v="0.00"/>
    <n v="-3.1300000000000001E-2"/>
    <n v="1.2579"/>
  </r>
  <r>
    <s v="FARMACOTONE BEBE CALENDULA SENS. 60 BAG"/>
    <s v=" Quake S.P.A."/>
    <x v="128"/>
    <s v="BAGS"/>
    <s v="SENSITIVE"/>
    <n v="60"/>
    <n v="7.7399999999999997E-2"/>
    <n v="0.20100000000000001"/>
    <n v="1.1599999999999999E-2"/>
    <n v="1.2943"/>
    <n v="3.8485999999999998"/>
    <n v="0.1971"/>
    <s v="159.69"/>
    <n v="-0.12360000000000002"/>
    <n v="3.6515"/>
  </r>
  <r>
    <s v="FARMACOTONE BIO ALOE&amp;ALMOND PH5.5 72 BAG"/>
    <s v=" Quake S.P.A."/>
    <x v="128"/>
    <s v="BAGS"/>
    <s v="PH BALANCED"/>
    <n v="72"/>
    <n v="6.8400000000000002E-2"/>
    <n v="9.8500000000000004E-2"/>
    <n v="3.8800000000000001E-2"/>
    <n v="1.5943000000000001"/>
    <n v="2.7256999999999998"/>
    <n v="0.93600000000000005"/>
    <s v="44.01"/>
    <n v="-3.0100000000000002E-2"/>
    <n v="1.7896999999999998"/>
  </r>
  <r>
    <s v="VOI MULTI VITAMINS PH5.5 W 100 BAG SINI"/>
    <s v=" HappyBeauty A.S."/>
    <x v="129"/>
    <s v="BAGS"/>
    <s v="PH BALANCED"/>
    <n v="100"/>
    <n v="1.2095"/>
    <n v="0"/>
    <n v="0"/>
    <n v="58.601599999999998"/>
    <n v="0"/>
    <n v="0"/>
    <s v="0.00"/>
    <n v="1.2095"/>
    <n v="0"/>
  </r>
  <r>
    <s v="VOI CREAM LOTION PH5.5 W 120 BAG KAPAK"/>
    <s v=" HappyBeauty A.S."/>
    <x v="129"/>
    <s v="BAGS"/>
    <s v="PH BALANCED"/>
    <n v="120"/>
    <n v="3.4049"/>
    <n v="0"/>
    <n v="0"/>
    <n v="181.5942"/>
    <n v="0"/>
    <n v="0"/>
    <s v="0.00"/>
    <n v="3.4049"/>
    <n v="0"/>
  </r>
  <r>
    <s v="VOI CHAMOMILE PH5.5 W 72 BAG KAPAK"/>
    <s v=" HappyBeauty A.S."/>
    <x v="129"/>
    <s v="BAGS"/>
    <s v="PH BALANCED"/>
    <n v="72"/>
    <n v="0.27539999999999998"/>
    <n v="0"/>
    <n v="0"/>
    <n v="11.6632"/>
    <n v="0"/>
    <n v="0"/>
    <s v="0.00"/>
    <n v="0.27539999999999998"/>
    <n v="0"/>
  </r>
  <r>
    <s v="VOI CREAM LOTION PH5.5 W 72 BAG KAPAK"/>
    <s v=" HappyBeauty A.S."/>
    <x v="129"/>
    <s v="BAGS"/>
    <s v="PH BALANCED"/>
    <n v="72"/>
    <n v="0.36249999999999999"/>
    <n v="0"/>
    <n v="0"/>
    <n v="17.400500000000001"/>
    <n v="0"/>
    <n v="0"/>
    <s v="0.00"/>
    <n v="0.36249999999999999"/>
    <n v="0"/>
  </r>
  <r>
    <s v="TOVA  FreshClean PH5.5 W 120 BAG"/>
    <s v=" QueenStand Investment"/>
    <x v="130"/>
    <s v="BAGS"/>
    <s v="PH BALANCED"/>
    <n v="120"/>
    <n v="0"/>
    <n v="0"/>
    <n v="3.1633"/>
    <n v="0"/>
    <n v="0"/>
    <n v="171.71680000000001"/>
    <s v="0.00"/>
    <n v="0"/>
    <n v="-171.71680000000001"/>
  </r>
  <r>
    <s v="ALVESTA BABY PH5.5 W 120 BAG KAPAK"/>
    <s v=" BladeSon LTD"/>
    <x v="131"/>
    <s v="BAGS"/>
    <s v="PH BALANCED"/>
    <n v="120"/>
    <n v="0"/>
    <n v="10.313499999999999"/>
    <n v="10.635400000000001"/>
    <n v="0"/>
    <n v="475.9119"/>
    <n v="461.80500000000001"/>
    <s v="0.00"/>
    <n v="-10.313499999999999"/>
    <n v="14.106899999999996"/>
  </r>
  <r>
    <s v="ALVESTA BABY PH5.5 W 72 BAG KAPAK"/>
    <s v=" BladeSon LTD"/>
    <x v="131"/>
    <s v="BAGS"/>
    <s v="PH BALANCED"/>
    <n v="72"/>
    <n v="54.988799999999998"/>
    <n v="32.909799999999997"/>
    <n v="13.822900000000001"/>
    <n v="1994.8981000000001"/>
    <n v="1164.6792"/>
    <n v="463.84859999999998"/>
    <s v="-40.15"/>
    <n v="22.079000000000001"/>
    <n v="700.8306"/>
  </r>
  <r>
    <s v="MIS MAK CLEANSE&amp;REFRESH PH5.5 W 72 BAG"/>
    <s v=" BladeSon LTD"/>
    <x v="132"/>
    <s v="BAGS"/>
    <s v="PH BALANCED"/>
    <n v="72"/>
    <n v="0.1076"/>
    <n v="0.1249"/>
    <n v="7.1900000000000006E-2"/>
    <n v="5.5374999999999996"/>
    <n v="6.4203000000000001"/>
    <n v="3.698"/>
    <s v="16.08"/>
    <n v="-1.7299999999999996E-2"/>
    <n v="2.7223000000000002"/>
  </r>
  <r>
    <s v="BIVY BABY NEWBORN W 60 BAG KAPAK"/>
    <s v=" TahaChem Cosmetics"/>
    <x v="133"/>
    <s v="BAGS"/>
    <s v="ALCOHOL FREE"/>
    <n v="60"/>
    <n v="0.30349999999999999"/>
    <n v="7.7100000000000002E-2"/>
    <n v="0"/>
    <n v="10.7111"/>
    <n v="2.9864999999999999"/>
    <n v="0"/>
    <s v="-74.60"/>
    <n v="0.22639999999999999"/>
    <n v="2.9864999999999999"/>
  </r>
  <r>
    <s v="BIVY SOFT&amp;FRESH PROVITB5&amp;VITE W 72 BAG"/>
    <s v=" TahaChem Cosmetics"/>
    <x v="133"/>
    <s v="BAGS"/>
    <s v="ALCOHOL FREE"/>
    <n v="72"/>
    <n v="34.620800000000003"/>
    <n v="13.6218"/>
    <n v="2.1793999999999998"/>
    <n v="2351.0409"/>
    <n v="917.37919999999997"/>
    <n v="151.65029999999999"/>
    <s v="-60.65"/>
    <n v="20.999000000000002"/>
    <n v="765.72889999999995"/>
  </r>
  <r>
    <s v="DAISY BABY WET WIPES W 120 BAG"/>
    <s v=" TextileSan"/>
    <x v="134"/>
    <s v="BAGS"/>
    <s v="WITHOUT EXTRA PROTECTCARE INDICATION"/>
    <n v="120"/>
    <n v="0"/>
    <n v="0"/>
    <n v="1.9407000000000001"/>
    <n v="0"/>
    <n v="0"/>
    <n v="110.1146"/>
    <s v="0.00"/>
    <n v="0"/>
    <n v="-110.1146"/>
  </r>
  <r>
    <s v="BEBECAN PH5.5 W 72 BAG TNCR GIDA KAPAK"/>
    <s v=" FoodTNCR"/>
    <x v="135"/>
    <s v="BAGS"/>
    <s v="PH BALANCED"/>
    <n v="72"/>
    <n v="2.0785999999999998"/>
    <n v="7.1199999999999999E-2"/>
    <n v="0"/>
    <n v="104.04649999999999"/>
    <n v="3.8216000000000001"/>
    <n v="0"/>
    <s v="-96.57"/>
    <n v="2.0073999999999996"/>
    <n v="3.8216000000000001"/>
  </r>
  <r>
    <s v="HUGO BABY ALC.FREE W 120 BAG"/>
    <s v=" TroyBeauty Trade"/>
    <x v="136"/>
    <s v="BAGS"/>
    <s v="ALCOHOL FREE"/>
    <n v="120"/>
    <n v="0"/>
    <n v="0"/>
    <n v="0.1532"/>
    <n v="0"/>
    <n v="0"/>
    <n v="9.1946999999999992"/>
    <s v="0.00"/>
    <n v="0"/>
    <n v="-9.1946999999999992"/>
  </r>
  <r>
    <s v="PROSOFT VITE&amp;PROVITB5 W 72 BAG CHERVENI"/>
    <s v=" TroyBeauty Trade"/>
    <x v="137"/>
    <s v="BAGS"/>
    <s v="ALCOHOL FREE"/>
    <n v="72"/>
    <n v="0"/>
    <n v="2.8000000000000001E-2"/>
    <n v="14.061199999999999"/>
    <n v="0"/>
    <n v="1.8513999999999999"/>
    <n v="850.57989999999995"/>
    <s v="0.00"/>
    <n v="-2.8000000000000001E-2"/>
    <n v="-848.72849999999994"/>
  </r>
  <r>
    <s v="PROSOFT VITE&amp;PROVITB5 W 72 BAG ZELENI"/>
    <s v=" TroyBeauty Trade"/>
    <x v="137"/>
    <s v="BAGS"/>
    <s v="ALCOHOL FREE"/>
    <n v="72"/>
    <n v="0"/>
    <n v="3.1899999999999998E-2"/>
    <n v="8.1054999999999993"/>
    <n v="0"/>
    <n v="2.1086"/>
    <n v="502.96"/>
    <s v="0.00"/>
    <n v="-3.1899999999999998E-2"/>
    <n v="-500.85139999999996"/>
  </r>
  <r>
    <s v="UNAC BABY LOTION&amp;VIT.E AL.FREE W 120 BAG"/>
    <s v=" Unac Beauty Makers SAN."/>
    <x v="138"/>
    <s v="BAGS"/>
    <s v="ALCOHOL FREE"/>
    <n v="120"/>
    <n v="25.839099999999998"/>
    <n v="9.0121000000000002"/>
    <n v="10.0204"/>
    <n v="1539.4739"/>
    <n v="509.45670000000001"/>
    <n v="585.52229999999997"/>
    <s v="-65.12"/>
    <n v="16.826999999999998"/>
    <n v="-76.065599999999961"/>
  </r>
  <r>
    <s v="DOVE BABY RICHMOISTURE ALC.FREE W 50 BAG"/>
    <s v=" UniHandle"/>
    <x v="139"/>
    <s v="BAGS"/>
    <s v="ALCOHOL FREE &amp; HYPOALLERGENIC"/>
    <n v="50"/>
    <n v="9.0969999999999995"/>
    <n v="13.0891"/>
    <n v="4.6460999999999997"/>
    <n v="134.3818"/>
    <n v="186.4109"/>
    <n v="56.316099999999999"/>
    <s v="43.88"/>
    <n v="-3.9921000000000006"/>
    <n v="130.09479999999999"/>
  </r>
  <r>
    <s v="DOVE BABY SENSITIVE MOISTURE W 50 BAG"/>
    <s v=" UniHandle"/>
    <x v="139"/>
    <s v="BAGS"/>
    <s v="SENSITIVE"/>
    <n v="50"/>
    <n v="10.3986"/>
    <n v="26.6724"/>
    <n v="21.6234"/>
    <n v="151.6679"/>
    <n v="465.6979"/>
    <n v="443.52179999999998"/>
    <s v="156.50"/>
    <n v="-16.273800000000001"/>
    <n v="22.176100000000019"/>
  </r>
  <r>
    <s v="BEBECAN BABY PH5.5 W 72 BAG YESIL"/>
    <s v=" GreenIlgaz Group"/>
    <x v="135"/>
    <s v="BAGS"/>
    <s v="PH BALANCED"/>
    <n v="72"/>
    <n v="1.8396999999999999"/>
    <n v="4.3616000000000001"/>
    <n v="0"/>
    <n v="115.49760000000001"/>
    <n v="300.46589999999998"/>
    <n v="0"/>
    <s v="137.08"/>
    <n v="-2.5219000000000005"/>
    <n v="300.46589999999998"/>
  </r>
  <r>
    <m/>
    <m/>
    <x v="140"/>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x v="0"/>
    <s v=" Nova Garbagnate"/>
    <x v="0"/>
    <x v="0"/>
    <x v="0"/>
    <n v="20"/>
    <n v="1.9350000000000001"/>
    <n v="0.624"/>
    <n v="0"/>
    <n v="24.822900000000001"/>
    <n v="9.4085999999999999"/>
    <n v="0"/>
    <x v="0"/>
    <n v="1.3109999999999999"/>
    <n v="9.4085999999999999"/>
    <n v="15.414300000000001"/>
  </r>
  <r>
    <x v="1"/>
    <s v=" BeneCare"/>
    <x v="1"/>
    <x v="0"/>
    <x v="0"/>
    <n v="80"/>
    <n v="1.09E-2"/>
    <n v="0"/>
    <n v="0"/>
    <n v="0.16"/>
    <n v="0"/>
    <n v="0"/>
    <x v="1"/>
    <n v="1.09E-2"/>
    <n v="0"/>
    <n v="0.16"/>
  </r>
  <r>
    <x v="2"/>
    <s v=" VigaLife"/>
    <x v="2"/>
    <x v="0"/>
    <x v="1"/>
    <n v="100"/>
    <n v="81.467399999999998"/>
    <n v="92.903000000000006"/>
    <n v="52.511899999999997"/>
    <n v="2980.7042999999999"/>
    <n v="3415.3553999999999"/>
    <n v="1823.0734"/>
    <x v="2"/>
    <n v="-11.435600000000008"/>
    <n v="1592.2819999999999"/>
    <n v="-434.65110000000004"/>
  </r>
  <r>
    <x v="3"/>
    <s v=" VigaLife"/>
    <x v="2"/>
    <x v="0"/>
    <x v="1"/>
    <n v="100"/>
    <n v="165.22800000000001"/>
    <n v="172.68430000000001"/>
    <n v="91.1357"/>
    <n v="5930.9056"/>
    <n v="6183.6273000000001"/>
    <n v="3125.7986999999998"/>
    <x v="3"/>
    <n v="-7.4562999999999988"/>
    <n v="3057.8286000000003"/>
    <n v="-252.72170000000006"/>
  </r>
  <r>
    <x v="4"/>
    <s v=" VigaLife"/>
    <x v="2"/>
    <x v="0"/>
    <x v="1"/>
    <n v="120"/>
    <n v="842.87239999999997"/>
    <n v="745.33579999999995"/>
    <n v="366.95890000000003"/>
    <n v="38888.539799999999"/>
    <n v="31985.000499999998"/>
    <n v="14135.173000000001"/>
    <x v="4"/>
    <n v="97.536600000000021"/>
    <n v="17849.827499999999"/>
    <n v="6903.5393000000004"/>
  </r>
  <r>
    <x v="5"/>
    <s v=" VigaLife"/>
    <x v="2"/>
    <x v="0"/>
    <x v="0"/>
    <n v="15"/>
    <n v="12.774800000000001"/>
    <n v="10.866"/>
    <n v="6.7743000000000002"/>
    <n v="151.26679999999999"/>
    <n v="127.18680000000001"/>
    <n v="77.459400000000002"/>
    <x v="5"/>
    <n v="1.9088000000000012"/>
    <n v="49.727400000000003"/>
    <n v="24.079999999999984"/>
  </r>
  <r>
    <x v="6"/>
    <s v=" VigaLife"/>
    <x v="2"/>
    <x v="0"/>
    <x v="0"/>
    <n v="15"/>
    <n v="20.055299999999999"/>
    <n v="17.836099999999998"/>
    <n v="11.187099999999999"/>
    <n v="231.08779999999999"/>
    <n v="217.71180000000001"/>
    <n v="141.00800000000001"/>
    <x v="6"/>
    <n v="2.2192000000000007"/>
    <n v="76.703800000000001"/>
    <n v="13.375999999999976"/>
  </r>
  <r>
    <x v="7"/>
    <s v=" VigaLife"/>
    <x v="2"/>
    <x v="0"/>
    <x v="1"/>
    <n v="15"/>
    <n v="1.2461"/>
    <n v="7.7651000000000003"/>
    <n v="2.2378"/>
    <n v="20.960899999999999"/>
    <n v="127.6666"/>
    <n v="33.570999999999998"/>
    <x v="7"/>
    <n v="-6.5190000000000001"/>
    <n v="94.095600000000005"/>
    <n v="-106.70570000000001"/>
  </r>
  <r>
    <x v="8"/>
    <s v=" VigaLife"/>
    <x v="2"/>
    <x v="0"/>
    <x v="2"/>
    <n v="15"/>
    <n v="9.6471999999999998"/>
    <n v="10.7577"/>
    <n v="7.0723000000000003"/>
    <n v="112.20610000000001"/>
    <n v="131.05279999999999"/>
    <n v="85.719800000000006"/>
    <x v="8"/>
    <n v="-1.1105"/>
    <n v="45.332999999999984"/>
    <n v="-18.846699999999984"/>
  </r>
  <r>
    <x v="9"/>
    <s v=" VigaLife"/>
    <x v="2"/>
    <x v="0"/>
    <x v="0"/>
    <n v="40"/>
    <n v="0.1235"/>
    <n v="0"/>
    <n v="0"/>
    <n v="2.2799999999999998"/>
    <n v="0"/>
    <n v="0"/>
    <x v="1"/>
    <n v="0.1235"/>
    <n v="0"/>
    <n v="2.2799999999999998"/>
  </r>
  <r>
    <x v="10"/>
    <s v=" VigaLife"/>
    <x v="2"/>
    <x v="0"/>
    <x v="1"/>
    <n v="56"/>
    <n v="0"/>
    <n v="0"/>
    <n v="7.1128"/>
    <n v="0"/>
    <n v="0"/>
    <n v="247.09899999999999"/>
    <x v="1"/>
    <n v="0"/>
    <n v="-247.09899999999999"/>
    <n v="0"/>
  </r>
  <r>
    <x v="11"/>
    <s v=" VigaLife"/>
    <x v="2"/>
    <x v="0"/>
    <x v="1"/>
    <n v="56"/>
    <n v="0.18310000000000001"/>
    <n v="0.1116"/>
    <n v="0.38700000000000001"/>
    <n v="5.8884999999999996"/>
    <n v="3.7909999999999999"/>
    <n v="14.3827"/>
    <x v="9"/>
    <n v="7.1500000000000008E-2"/>
    <n v="-10.591699999999999"/>
    <n v="2.0974999999999997"/>
  </r>
  <r>
    <x v="12"/>
    <s v=" VigaLife"/>
    <x v="2"/>
    <x v="0"/>
    <x v="0"/>
    <n v="64"/>
    <n v="1.8938999999999999"/>
    <n v="0"/>
    <n v="0.22520000000000001"/>
    <n v="49.9726"/>
    <n v="0"/>
    <n v="6.9500999999999999"/>
    <x v="1"/>
    <n v="1.8938999999999999"/>
    <n v="-6.9500999999999999"/>
    <n v="49.9726"/>
  </r>
  <r>
    <x v="13"/>
    <s v=" VigaLife"/>
    <x v="2"/>
    <x v="0"/>
    <x v="0"/>
    <n v="64"/>
    <n v="1.3514999999999999"/>
    <n v="1.6999999999999999E-3"/>
    <n v="0"/>
    <n v="37.322600000000001"/>
    <n v="6.4000000000000001E-2"/>
    <n v="0"/>
    <x v="10"/>
    <n v="1.3497999999999999"/>
    <n v="6.4000000000000001E-2"/>
    <n v="37.258600000000001"/>
  </r>
  <r>
    <x v="14"/>
    <s v=" VigaLife"/>
    <x v="2"/>
    <x v="0"/>
    <x v="1"/>
    <n v="64"/>
    <n v="5.8978000000000002"/>
    <n v="0.1087"/>
    <n v="0"/>
    <n v="169.58080000000001"/>
    <n v="3.3822999999999999"/>
    <n v="0"/>
    <x v="11"/>
    <n v="5.7891000000000004"/>
    <n v="3.3822999999999999"/>
    <n v="166.19850000000002"/>
  </r>
  <r>
    <x v="15"/>
    <s v=" VigaLife"/>
    <x v="2"/>
    <x v="0"/>
    <x v="2"/>
    <n v="64"/>
    <n v="0.69669999999999999"/>
    <n v="28.392900000000001"/>
    <n v="2.1978"/>
    <n v="25.606300000000001"/>
    <n v="1226.3661999999999"/>
    <n v="96.438800000000001"/>
    <x v="12"/>
    <n v="-27.696200000000001"/>
    <n v="1129.9274"/>
    <n v="-1200.7599"/>
  </r>
  <r>
    <x v="16"/>
    <s v=" VigaLife"/>
    <x v="2"/>
    <x v="0"/>
    <x v="0"/>
    <n v="72"/>
    <n v="117.6534"/>
    <n v="68.117699999999999"/>
    <n v="28.349900000000002"/>
    <n v="3055.9405999999999"/>
    <n v="1781.8513"/>
    <n v="711.07719999999995"/>
    <x v="13"/>
    <n v="49.535700000000006"/>
    <n v="1070.7741000000001"/>
    <n v="1274.0892999999999"/>
  </r>
  <r>
    <x v="17"/>
    <s v=" VigaLife"/>
    <x v="2"/>
    <x v="0"/>
    <x v="0"/>
    <n v="72"/>
    <n v="38.677799999999998"/>
    <n v="31.4983"/>
    <n v="9.7551000000000005"/>
    <n v="954.11220000000003"/>
    <n v="803.28520000000003"/>
    <n v="236.19829999999999"/>
    <x v="14"/>
    <n v="7.1794999999999973"/>
    <n v="567.08690000000001"/>
    <n v="150.827"/>
  </r>
  <r>
    <x v="18"/>
    <s v=" VigaLife"/>
    <x v="2"/>
    <x v="0"/>
    <x v="1"/>
    <n v="72"/>
    <n v="6.1199999999999997E-2"/>
    <n v="0"/>
    <n v="0"/>
    <n v="1.6046"/>
    <n v="0"/>
    <n v="0"/>
    <x v="1"/>
    <n v="6.1199999999999997E-2"/>
    <n v="0"/>
    <n v="1.6046"/>
  </r>
  <r>
    <x v="19"/>
    <s v=" VigaLife"/>
    <x v="2"/>
    <x v="0"/>
    <x v="1"/>
    <n v="72"/>
    <n v="36.521799999999999"/>
    <n v="5.1192000000000002"/>
    <n v="1.1213"/>
    <n v="1199.5277000000001"/>
    <n v="135.36869999999999"/>
    <n v="30.554400000000001"/>
    <x v="15"/>
    <n v="31.4026"/>
    <n v="104.81429999999999"/>
    <n v="1064.1590000000001"/>
  </r>
  <r>
    <x v="20"/>
    <s v=" VigaLife"/>
    <x v="2"/>
    <x v="0"/>
    <x v="1"/>
    <n v="72"/>
    <n v="21.958300000000001"/>
    <n v="39.467100000000002"/>
    <n v="10.7844"/>
    <n v="726.31399999999996"/>
    <n v="1508.4713999999999"/>
    <n v="314.52640000000002"/>
    <x v="16"/>
    <n v="-17.508800000000001"/>
    <n v="1193.9449999999999"/>
    <n v="-782.15739999999994"/>
  </r>
  <r>
    <x v="21"/>
    <s v=" VigaLife"/>
    <x v="2"/>
    <x v="0"/>
    <x v="1"/>
    <n v="72"/>
    <n v="27.983599999999999"/>
    <n v="162.41050000000001"/>
    <n v="103.16800000000001"/>
    <n v="928.81529999999998"/>
    <n v="5484.9444999999996"/>
    <n v="3446.0194999999999"/>
    <x v="17"/>
    <n v="-134.42690000000002"/>
    <n v="2038.9249999999997"/>
    <n v="-4556.1291999999994"/>
  </r>
  <r>
    <x v="22"/>
    <s v=" VigaLife"/>
    <x v="2"/>
    <x v="0"/>
    <x v="0"/>
    <n v="72"/>
    <n v="221.17019999999999"/>
    <n v="159.9896"/>
    <n v="77.865600000000001"/>
    <n v="6715.8593000000001"/>
    <n v="4333.2687999999998"/>
    <n v="2035.5381"/>
    <x v="18"/>
    <n v="61.180599999999998"/>
    <n v="2297.7307000000001"/>
    <n v="2382.5905000000002"/>
  </r>
  <r>
    <x v="23"/>
    <s v=" VigaLife"/>
    <x v="2"/>
    <x v="0"/>
    <x v="1"/>
    <n v="72"/>
    <n v="6.4486999999999997"/>
    <n v="1.6863999999999999"/>
    <n v="0"/>
    <n v="194.65190000000001"/>
    <n v="50.700299999999999"/>
    <n v="0"/>
    <x v="19"/>
    <n v="4.7622999999999998"/>
    <n v="50.700299999999999"/>
    <n v="143.95160000000001"/>
  </r>
  <r>
    <x v="24"/>
    <s v=" VigaLife"/>
    <x v="2"/>
    <x v="0"/>
    <x v="1"/>
    <n v="72"/>
    <n v="1663.8369"/>
    <n v="1815.6596999999999"/>
    <n v="1049.2485999999999"/>
    <n v="62012.672500000001"/>
    <n v="68679.966"/>
    <n v="37856.881999999998"/>
    <x v="20"/>
    <n v="-151.82279999999992"/>
    <n v="30823.084000000003"/>
    <n v="-6667.2934999999998"/>
  </r>
  <r>
    <x v="25"/>
    <s v=" VigaLife"/>
    <x v="2"/>
    <x v="0"/>
    <x v="0"/>
    <n v="80"/>
    <n v="1.7698"/>
    <n v="0.36170000000000002"/>
    <n v="0.20810000000000001"/>
    <n v="50.220500000000001"/>
    <n v="12.068099999999999"/>
    <n v="5.4642999999999997"/>
    <x v="21"/>
    <n v="1.4081000000000001"/>
    <n v="6.6037999999999997"/>
    <n v="38.1524"/>
  </r>
  <r>
    <x v="26"/>
    <s v=" VigaLife"/>
    <x v="2"/>
    <x v="0"/>
    <x v="0"/>
    <n v="80"/>
    <n v="61.981900000000003"/>
    <n v="56.970199999999998"/>
    <n v="23.8948"/>
    <n v="1524.2099000000001"/>
    <n v="1404.4858999999999"/>
    <n v="554.68420000000003"/>
    <x v="22"/>
    <n v="5.0117000000000047"/>
    <n v="849.80169999999987"/>
    <n v="119.72400000000016"/>
  </r>
  <r>
    <x v="27"/>
    <s v=" Intelligent Initiative"/>
    <x v="3"/>
    <x v="0"/>
    <x v="1"/>
    <n v="120"/>
    <n v="78.227999999999994"/>
    <n v="99.030500000000004"/>
    <n v="56.674100000000003"/>
    <n v="4816.5708000000004"/>
    <n v="5822.6243999999997"/>
    <n v="2923.4182999999998"/>
    <x v="23"/>
    <n v="-20.802500000000009"/>
    <n v="2899.2060999999999"/>
    <n v="-1006.0535999999993"/>
  </r>
  <r>
    <x v="28"/>
    <s v=" Intelligent Initiative"/>
    <x v="3"/>
    <x v="0"/>
    <x v="0"/>
    <n v="64"/>
    <n v="11.11"/>
    <n v="8.9543999999999997"/>
    <n v="2.2328999999999999"/>
    <n v="523.16819999999996"/>
    <n v="387.32229999999998"/>
    <n v="84.428399999999996"/>
    <x v="24"/>
    <n v="2.1555999999999997"/>
    <n v="302.89389999999997"/>
    <n v="135.84589999999997"/>
  </r>
  <r>
    <x v="29"/>
    <s v=" Intelligent Initiative"/>
    <x v="3"/>
    <x v="0"/>
    <x v="0"/>
    <n v="64"/>
    <n v="79.953000000000003"/>
    <n v="73.757099999999994"/>
    <n v="40.362299999999998"/>
    <n v="3388.3481999999999"/>
    <n v="2840.8843000000002"/>
    <n v="1387.0689"/>
    <x v="25"/>
    <n v="6.1959000000000088"/>
    <n v="1453.8154000000002"/>
    <n v="547.46389999999974"/>
  </r>
  <r>
    <x v="30"/>
    <s v=" Intelligent Initiative"/>
    <x v="3"/>
    <x v="0"/>
    <x v="0"/>
    <n v="64"/>
    <n v="12.195"/>
    <n v="8.5597999999999992"/>
    <n v="1.6516999999999999"/>
    <n v="553.03880000000004"/>
    <n v="369.83049999999997"/>
    <n v="64.100099999999998"/>
    <x v="26"/>
    <n v="3.6352000000000011"/>
    <n v="305.73039999999997"/>
    <n v="183.20830000000007"/>
  </r>
  <r>
    <x v="31"/>
    <s v=" Intelligent Initiative"/>
    <x v="3"/>
    <x v="0"/>
    <x v="0"/>
    <n v="64"/>
    <n v="60.510800000000003"/>
    <n v="52.405999999999999"/>
    <n v="30.122800000000002"/>
    <n v="2540.1291999999999"/>
    <n v="2011.4869000000001"/>
    <n v="1066.0352"/>
    <x v="27"/>
    <n v="8.1048000000000044"/>
    <n v="945.45170000000007"/>
    <n v="528.64229999999975"/>
  </r>
  <r>
    <x v="32"/>
    <s v=" Intelligent Initiative"/>
    <x v="3"/>
    <x v="0"/>
    <x v="0"/>
    <n v="64"/>
    <n v="47.8005"/>
    <n v="51.199100000000001"/>
    <n v="29.6906"/>
    <n v="1970.2177999999999"/>
    <n v="1924.2328"/>
    <n v="1027.8571999999999"/>
    <x v="28"/>
    <n v="-3.3986000000000018"/>
    <n v="896.37560000000008"/>
    <n v="45.9849999999999"/>
  </r>
  <r>
    <x v="33"/>
    <s v=" Intelligent Initiative"/>
    <x v="3"/>
    <x v="0"/>
    <x v="1"/>
    <n v="64"/>
    <n v="0"/>
    <n v="3.2536"/>
    <n v="4.3144"/>
    <n v="0"/>
    <n v="139.34979999999999"/>
    <n v="169.84690000000001"/>
    <x v="1"/>
    <n v="-3.2536"/>
    <n v="-30.497100000000017"/>
    <n v="-139.34979999999999"/>
  </r>
  <r>
    <x v="34"/>
    <s v=" Intelligent Initiative"/>
    <x v="3"/>
    <x v="0"/>
    <x v="1"/>
    <n v="64"/>
    <n v="5.5922000000000001"/>
    <n v="5.3672000000000004"/>
    <n v="2.5727000000000002"/>
    <n v="261.04790000000003"/>
    <n v="232.43600000000001"/>
    <n v="93.995500000000007"/>
    <x v="29"/>
    <n v="0.22499999999999964"/>
    <n v="138.44049999999999"/>
    <n v="28.61190000000002"/>
  </r>
  <r>
    <x v="35"/>
    <s v=" Intelligent Initiative"/>
    <x v="3"/>
    <x v="0"/>
    <x v="1"/>
    <n v="64"/>
    <n v="53.490699999999997"/>
    <n v="44.783700000000003"/>
    <n v="26.440899999999999"/>
    <n v="2262.5698000000002"/>
    <n v="1667.4681"/>
    <n v="920.88139999999999"/>
    <x v="30"/>
    <n v="8.7069999999999936"/>
    <n v="746.58670000000006"/>
    <n v="595.10170000000016"/>
  </r>
  <r>
    <x v="36"/>
    <s v=" Intelligent Initiative"/>
    <x v="3"/>
    <x v="0"/>
    <x v="3"/>
    <n v="64"/>
    <n v="8.2710000000000008"/>
    <n v="9.9309999999999992"/>
    <n v="1.1805000000000001"/>
    <n v="392.0086"/>
    <n v="426.19690000000003"/>
    <n v="46.280799999999999"/>
    <x v="31"/>
    <n v="-1.6599999999999984"/>
    <n v="379.91610000000003"/>
    <n v="-34.188300000000027"/>
  </r>
  <r>
    <x v="37"/>
    <s v=" Intelligent Initiative"/>
    <x v="3"/>
    <x v="0"/>
    <x v="3"/>
    <n v="64"/>
    <n v="70.562299999999993"/>
    <n v="56.785600000000002"/>
    <n v="30.796600000000002"/>
    <n v="2842.3220000000001"/>
    <n v="2121.0371"/>
    <n v="1067.8224"/>
    <x v="32"/>
    <n v="13.776699999999991"/>
    <n v="1053.2147"/>
    <n v="721.28490000000011"/>
  </r>
  <r>
    <x v="38"/>
    <s v=" Intelligent Initiative"/>
    <x v="3"/>
    <x v="0"/>
    <x v="1"/>
    <n v="64"/>
    <n v="34.495899999999999"/>
    <n v="35.333399999999997"/>
    <n v="28.078199999999999"/>
    <n v="1446.3839"/>
    <n v="1359.9783"/>
    <n v="967.9162"/>
    <x v="33"/>
    <n v="-0.83749999999999858"/>
    <n v="392.06209999999999"/>
    <n v="86.405600000000049"/>
  </r>
  <r>
    <x v="39"/>
    <s v=" Intelligent Initiative"/>
    <x v="3"/>
    <x v="0"/>
    <x v="2"/>
    <n v="90"/>
    <n v="49.5715"/>
    <n v="57.943199999999997"/>
    <n v="41.595799999999997"/>
    <n v="2203.8969999999999"/>
    <n v="2377.6914999999999"/>
    <n v="1614.8326999999999"/>
    <x v="34"/>
    <n v="-8.371699999999997"/>
    <n v="762.85879999999997"/>
    <n v="-173.79449999999997"/>
  </r>
  <r>
    <x v="40"/>
    <s v=" BroadLeaf Group"/>
    <x v="4"/>
    <x v="0"/>
    <x v="1"/>
    <n v="120"/>
    <n v="0"/>
    <n v="0"/>
    <n v="5.7117000000000004"/>
    <n v="0"/>
    <n v="0"/>
    <n v="338.46300000000002"/>
    <x v="1"/>
    <n v="0"/>
    <n v="-338.46300000000002"/>
    <n v="0"/>
  </r>
  <r>
    <x v="41"/>
    <s v=" BroadLeaf Group"/>
    <x v="4"/>
    <x v="0"/>
    <x v="1"/>
    <n v="90"/>
    <n v="0"/>
    <n v="4.4634999999999998"/>
    <n v="0.1893"/>
    <n v="0"/>
    <n v="231.33420000000001"/>
    <n v="9.7352000000000007"/>
    <x v="1"/>
    <n v="-4.4634999999999998"/>
    <n v="221.59900000000002"/>
    <n v="-231.33420000000001"/>
  </r>
  <r>
    <x v="42"/>
    <s v=" ArborChemistry"/>
    <x v="5"/>
    <x v="0"/>
    <x v="1"/>
    <n v="120"/>
    <n v="0.70520000000000005"/>
    <n v="0"/>
    <n v="0"/>
    <n v="47.325299999999999"/>
    <n v="0"/>
    <n v="0"/>
    <x v="1"/>
    <n v="0.70520000000000005"/>
    <n v="0"/>
    <n v="47.325299999999999"/>
  </r>
  <r>
    <x v="43"/>
    <s v=" ArkPapers"/>
    <x v="6"/>
    <x v="0"/>
    <x v="1"/>
    <n v="100"/>
    <n v="0.76280000000000003"/>
    <n v="0.23669999999999999"/>
    <n v="0.1135"/>
    <n v="43.074599999999997"/>
    <n v="13.9861"/>
    <n v="6.5488999999999997"/>
    <x v="35"/>
    <n v="0.52610000000000001"/>
    <n v="7.4372000000000007"/>
    <n v="29.088499999999996"/>
  </r>
  <r>
    <x v="44"/>
    <s v=" ArkPapers"/>
    <x v="6"/>
    <x v="0"/>
    <x v="3"/>
    <n v="100"/>
    <n v="14.3467"/>
    <n v="14.9893"/>
    <n v="7.9457000000000004"/>
    <n v="749.43960000000004"/>
    <n v="788.71510000000001"/>
    <n v="388.85250000000002"/>
    <x v="36"/>
    <n v="-0.64259999999999984"/>
    <n v="399.86259999999999"/>
    <n v="-39.275499999999965"/>
  </r>
  <r>
    <x v="45"/>
    <s v=" ArkPapers"/>
    <x v="6"/>
    <x v="0"/>
    <x v="0"/>
    <n v="100"/>
    <n v="9.9741999999999997"/>
    <n v="17.767600000000002"/>
    <n v="9.7081"/>
    <n v="530.94489999999996"/>
    <n v="921.25450000000001"/>
    <n v="442.90179999999998"/>
    <x v="37"/>
    <n v="-7.7934000000000019"/>
    <n v="478.35270000000003"/>
    <n v="-390.30960000000005"/>
  </r>
  <r>
    <x v="46"/>
    <s v=" ArkPapers"/>
    <x v="6"/>
    <x v="0"/>
    <x v="0"/>
    <n v="100"/>
    <n v="15.1808"/>
    <n v="9.7044999999999995"/>
    <n v="2.6509999999999998"/>
    <n v="814.55730000000005"/>
    <n v="531.53909999999996"/>
    <n v="144.98150000000001"/>
    <x v="38"/>
    <n v="5.4763000000000002"/>
    <n v="386.55759999999998"/>
    <n v="283.01820000000009"/>
  </r>
  <r>
    <x v="47"/>
    <s v=" ArkPapers"/>
    <x v="6"/>
    <x v="0"/>
    <x v="1"/>
    <n v="100"/>
    <n v="18.2471"/>
    <n v="19.903099999999998"/>
    <n v="8.7614000000000001"/>
    <n v="989.38980000000004"/>
    <n v="1044.1582000000001"/>
    <n v="387.44209999999998"/>
    <x v="39"/>
    <n v="-1.6559999999999988"/>
    <n v="656.7161000000001"/>
    <n v="-54.768400000000042"/>
  </r>
  <r>
    <x v="48"/>
    <s v=" ArkPapers"/>
    <x v="6"/>
    <x v="0"/>
    <x v="1"/>
    <n v="100"/>
    <n v="13.7898"/>
    <n v="10.6778"/>
    <n v="5.2233000000000001"/>
    <n v="726.86360000000002"/>
    <n v="563.28449999999998"/>
    <n v="268.45999999999998"/>
    <x v="40"/>
    <n v="3.1120000000000001"/>
    <n v="294.8245"/>
    <n v="163.57910000000004"/>
  </r>
  <r>
    <x v="49"/>
    <s v=" ArkPapers"/>
    <x v="6"/>
    <x v="0"/>
    <x v="1"/>
    <n v="120"/>
    <n v="29.590800000000002"/>
    <n v="20.845300000000002"/>
    <n v="11.449400000000001"/>
    <n v="1741.4848"/>
    <n v="1127.5655999999999"/>
    <n v="585.96109999999999"/>
    <x v="41"/>
    <n v="8.7454999999999998"/>
    <n v="541.60449999999992"/>
    <n v="613.91920000000005"/>
  </r>
  <r>
    <x v="50"/>
    <s v=" ArkPapers"/>
    <x v="6"/>
    <x v="0"/>
    <x v="3"/>
    <n v="72"/>
    <n v="0.72840000000000005"/>
    <n v="0"/>
    <n v="0"/>
    <n v="51.0182"/>
    <n v="0"/>
    <n v="0"/>
    <x v="1"/>
    <n v="0.72840000000000005"/>
    <n v="0"/>
    <n v="51.0182"/>
  </r>
  <r>
    <x v="51"/>
    <s v=" ArkPapers"/>
    <x v="6"/>
    <x v="0"/>
    <x v="2"/>
    <n v="90"/>
    <n v="2.0455000000000001"/>
    <n v="0.30070000000000002"/>
    <n v="9.6000000000000002E-2"/>
    <n v="81.869600000000005"/>
    <n v="11.870100000000001"/>
    <n v="3.7711999999999999"/>
    <x v="42"/>
    <n v="1.7448000000000001"/>
    <n v="8.0989000000000004"/>
    <n v="69.999500000000012"/>
  </r>
  <r>
    <x v="52"/>
    <s v=" Arkana PaperCraft"/>
    <x v="7"/>
    <x v="0"/>
    <x v="0"/>
    <n v="120"/>
    <n v="1.0717000000000001"/>
    <n v="1.6845000000000001"/>
    <n v="0.2092"/>
    <n v="53.428199999999997"/>
    <n v="83.401399999999995"/>
    <n v="9.5612999999999992"/>
    <x v="43"/>
    <n v="-0.61280000000000001"/>
    <n v="73.840099999999993"/>
    <n v="-29.973199999999999"/>
  </r>
  <r>
    <x v="53"/>
    <s v=" Arkana PaperCraft"/>
    <x v="7"/>
    <x v="0"/>
    <x v="0"/>
    <n v="72"/>
    <n v="0.46760000000000002"/>
    <n v="0.37340000000000001"/>
    <n v="0.47289999999999999"/>
    <n v="17.929200000000002"/>
    <n v="13.441700000000001"/>
    <n v="18.149699999999999"/>
    <x v="44"/>
    <n v="9.4200000000000006E-2"/>
    <n v="-4.7079999999999984"/>
    <n v="4.4875000000000007"/>
  </r>
  <r>
    <x v="54"/>
    <s v=" Fragrantium S.A."/>
    <x v="8"/>
    <x v="0"/>
    <x v="0"/>
    <n v="20"/>
    <n v="4.4499999999999998E-2"/>
    <n v="6.2E-2"/>
    <n v="0"/>
    <n v="0.36759999999999998"/>
    <n v="0.48380000000000001"/>
    <n v="0"/>
    <x v="45"/>
    <n v="-1.7500000000000002E-2"/>
    <n v="0.48380000000000001"/>
    <n v="-0.11620000000000003"/>
  </r>
  <r>
    <x v="55"/>
    <s v=" ArsenicChem"/>
    <x v="9"/>
    <x v="0"/>
    <x v="0"/>
    <n v="72"/>
    <n v="3.3401000000000001"/>
    <n v="5.1974"/>
    <n v="3.7094999999999998"/>
    <n v="168.65979999999999"/>
    <n v="278.62639999999999"/>
    <n v="222.0746"/>
    <x v="46"/>
    <n v="-1.8573"/>
    <n v="56.551799999999986"/>
    <n v="-109.9666"/>
  </r>
  <r>
    <x v="56"/>
    <s v=" ArsenicChem"/>
    <x v="10"/>
    <x v="0"/>
    <x v="2"/>
    <n v="120"/>
    <n v="1.2582"/>
    <n v="4.4390999999999998"/>
    <n v="0.70909999999999995"/>
    <n v="67.526600000000002"/>
    <n v="226.15649999999999"/>
    <n v="33.759099999999997"/>
    <x v="47"/>
    <n v="-3.1808999999999998"/>
    <n v="192.3974"/>
    <n v="-158.62989999999999"/>
  </r>
  <r>
    <x v="57"/>
    <s v=" ArsenicChem"/>
    <x v="10"/>
    <x v="0"/>
    <x v="2"/>
    <n v="120"/>
    <n v="4.5986000000000002"/>
    <n v="6.1303000000000001"/>
    <n v="2.8555999999999999"/>
    <n v="228.69929999999999"/>
    <n v="310.51369999999997"/>
    <n v="123.6022"/>
    <x v="48"/>
    <n v="-1.5316999999999998"/>
    <n v="186.91149999999999"/>
    <n v="-81.814399999999978"/>
  </r>
  <r>
    <x v="58"/>
    <s v=" ArsenicChem"/>
    <x v="10"/>
    <x v="0"/>
    <x v="2"/>
    <n v="72"/>
    <n v="0.94640000000000002"/>
    <n v="1.6005"/>
    <n v="1.0179"/>
    <n v="54.868499999999997"/>
    <n v="87.027500000000003"/>
    <n v="38.080399999999997"/>
    <x v="49"/>
    <n v="-0.65410000000000001"/>
    <n v="48.947100000000006"/>
    <n v="-32.159000000000006"/>
  </r>
  <r>
    <x v="59"/>
    <s v=" ArsenicChem"/>
    <x v="10"/>
    <x v="0"/>
    <x v="1"/>
    <n v="72"/>
    <n v="1.8199000000000001"/>
    <n v="0.76910000000000001"/>
    <n v="0.73480000000000001"/>
    <n v="83.522300000000001"/>
    <n v="35.127499999999998"/>
    <n v="37.258200000000002"/>
    <x v="50"/>
    <n v="1.0508000000000002"/>
    <n v="-2.1307000000000045"/>
    <n v="48.394800000000004"/>
  </r>
  <r>
    <x v="60"/>
    <s v=" Creativa Worldwide"/>
    <x v="11"/>
    <x v="0"/>
    <x v="2"/>
    <n v="120"/>
    <n v="0"/>
    <n v="10.5616"/>
    <n v="42.6479"/>
    <n v="0"/>
    <n v="483.39569999999998"/>
    <n v="1689.356"/>
    <x v="1"/>
    <n v="-10.5616"/>
    <n v="-1205.9603"/>
    <n v="-483.39569999999998"/>
  </r>
  <r>
    <x v="61"/>
    <s v=" Creativa Worldwide"/>
    <x v="11"/>
    <x v="0"/>
    <x v="2"/>
    <n v="50"/>
    <n v="0"/>
    <n v="2.0855999999999999"/>
    <n v="2.5316000000000001"/>
    <n v="0"/>
    <n v="61.262700000000002"/>
    <n v="71.165300000000002"/>
    <x v="1"/>
    <n v="-2.0855999999999999"/>
    <n v="-9.9025999999999996"/>
    <n v="-61.262700000000002"/>
  </r>
  <r>
    <x v="62"/>
    <s v=" Creativa Worldwide"/>
    <x v="11"/>
    <x v="0"/>
    <x v="2"/>
    <n v="72"/>
    <n v="0"/>
    <n v="0.54479999999999995"/>
    <n v="7.6315999999999997"/>
    <n v="0"/>
    <n v="20.880700000000001"/>
    <n v="330.70479999999998"/>
    <x v="1"/>
    <n v="-0.54479999999999995"/>
    <n v="-309.82409999999999"/>
    <n v="-20.880700000000001"/>
  </r>
  <r>
    <x v="63"/>
    <s v=" CultureSana"/>
    <x v="12"/>
    <x v="0"/>
    <x v="3"/>
    <n v="60"/>
    <n v="0"/>
    <n v="1.5012000000000001"/>
    <n v="0.18310000000000001"/>
    <n v="0"/>
    <n v="36.194499999999998"/>
    <n v="4.9927999999999999"/>
    <x v="1"/>
    <n v="-1.5012000000000001"/>
    <n v="31.201699999999999"/>
    <n v="-36.194499999999998"/>
  </r>
  <r>
    <x v="64"/>
    <s v=" CultureSana"/>
    <x v="12"/>
    <x v="0"/>
    <x v="2"/>
    <n v="72"/>
    <n v="3.1665000000000001"/>
    <n v="0.6875"/>
    <n v="0.27989999999999998"/>
    <n v="65.203199999999995"/>
    <n v="14.1759"/>
    <n v="5.1737000000000002"/>
    <x v="51"/>
    <n v="2.4790000000000001"/>
    <n v="9.0022000000000002"/>
    <n v="51.027299999999997"/>
  </r>
  <r>
    <x v="65"/>
    <s v=" Ataman Industries"/>
    <x v="13"/>
    <x v="0"/>
    <x v="1"/>
    <n v="72"/>
    <n v="0"/>
    <n v="0"/>
    <n v="5.57E-2"/>
    <n v="0"/>
    <n v="0"/>
    <n v="1.7425999999999999"/>
    <x v="1"/>
    <n v="0"/>
    <n v="-1.7425999999999999"/>
    <n v="0"/>
  </r>
  <r>
    <x v="66"/>
    <s v=" AxisOn Group"/>
    <x v="14"/>
    <x v="0"/>
    <x v="1"/>
    <n v="140"/>
    <n v="209.29769999999999"/>
    <n v="236.50559999999999"/>
    <n v="198.2927"/>
    <n v="7336.5478999999996"/>
    <n v="8103.1085000000003"/>
    <n v="7048.5825999999997"/>
    <x v="52"/>
    <n v="-27.207899999999995"/>
    <n v="1054.5259000000005"/>
    <n v="-766.5606000000007"/>
  </r>
  <r>
    <x v="67"/>
    <s v=" AxisOn Group"/>
    <x v="14"/>
    <x v="0"/>
    <x v="1"/>
    <n v="140"/>
    <n v="2.7799999999999998E-2"/>
    <n v="4.5999999999999999E-3"/>
    <n v="0"/>
    <n v="1.2"/>
    <n v="0.2"/>
    <n v="0"/>
    <x v="53"/>
    <n v="2.3199999999999998E-2"/>
    <n v="0.2"/>
    <n v="1"/>
  </r>
  <r>
    <x v="68"/>
    <s v=" AxisOn Group"/>
    <x v="14"/>
    <x v="0"/>
    <x v="1"/>
    <n v="20"/>
    <n v="27.777100000000001"/>
    <n v="19.717700000000001"/>
    <n v="14.4848"/>
    <n v="429.91730000000001"/>
    <n v="309.96710000000002"/>
    <n v="229.3313"/>
    <x v="54"/>
    <n v="8.0594000000000001"/>
    <n v="80.635800000000017"/>
    <n v="119.9502"/>
  </r>
  <r>
    <x v="69"/>
    <s v=" AxisOn Group"/>
    <x v="14"/>
    <x v="0"/>
    <x v="3"/>
    <n v="20"/>
    <n v="40.515599999999999"/>
    <n v="34.999099999999999"/>
    <n v="5.7746000000000004"/>
    <n v="630.63189999999997"/>
    <n v="558.36739999999998"/>
    <n v="90.998999999999995"/>
    <x v="55"/>
    <n v="5.5165000000000006"/>
    <n v="467.36839999999995"/>
    <n v="72.264499999999998"/>
  </r>
  <r>
    <x v="70"/>
    <s v=" AxisOn Group"/>
    <x v="14"/>
    <x v="0"/>
    <x v="1"/>
    <n v="25"/>
    <n v="61.397500000000001"/>
    <n v="45.295999999999999"/>
    <n v="19.337599999999998"/>
    <n v="1027.2618"/>
    <n v="758.06629999999996"/>
    <n v="328.18349999999998"/>
    <x v="56"/>
    <n v="16.101500000000001"/>
    <n v="429.88279999999997"/>
    <n v="269.19550000000004"/>
  </r>
  <r>
    <x v="71"/>
    <s v=" AxisOn Group"/>
    <x v="14"/>
    <x v="0"/>
    <x v="1"/>
    <n v="25"/>
    <n v="1.03E-2"/>
    <n v="1.6999999999999999E-3"/>
    <n v="0"/>
    <n v="0.21429999999999999"/>
    <n v="3.5700000000000003E-2"/>
    <n v="0"/>
    <x v="57"/>
    <n v="8.6E-3"/>
    <n v="3.5700000000000003E-2"/>
    <n v="0.17859999999999998"/>
  </r>
  <r>
    <x v="72"/>
    <s v=" AxisOn Group"/>
    <x v="14"/>
    <x v="0"/>
    <x v="4"/>
    <n v="30"/>
    <n v="0"/>
    <n v="0"/>
    <n v="8.3928999999999991"/>
    <n v="0"/>
    <n v="0"/>
    <n v="185.37119999999999"/>
    <x v="1"/>
    <n v="0"/>
    <n v="-185.37119999999999"/>
    <n v="0"/>
  </r>
  <r>
    <x v="73"/>
    <s v=" AxisOn Group"/>
    <x v="14"/>
    <x v="0"/>
    <x v="4"/>
    <n v="64"/>
    <n v="11.2281"/>
    <n v="7.5716999999999999"/>
    <n v="1.9255"/>
    <n v="325.11810000000003"/>
    <n v="236.1233"/>
    <n v="61.869799999999998"/>
    <x v="58"/>
    <n v="3.6563999999999997"/>
    <n v="174.2535"/>
    <n v="88.994800000000026"/>
  </r>
  <r>
    <x v="74"/>
    <s v=" AxisOn Group"/>
    <x v="14"/>
    <x v="0"/>
    <x v="4"/>
    <n v="72"/>
    <n v="56.268599999999999"/>
    <n v="22.377800000000001"/>
    <n v="12.435499999999999"/>
    <n v="1799.2518"/>
    <n v="721.99059999999997"/>
    <n v="385.45190000000002"/>
    <x v="59"/>
    <n v="33.890799999999999"/>
    <n v="336.53869999999995"/>
    <n v="1077.2611999999999"/>
  </r>
  <r>
    <x v="75"/>
    <s v=" AxisOn Group"/>
    <x v="14"/>
    <x v="0"/>
    <x v="0"/>
    <n v="72"/>
    <n v="0.64159999999999995"/>
    <n v="0.34470000000000001"/>
    <n v="0"/>
    <n v="14.463900000000001"/>
    <n v="7.3648999999999996"/>
    <n v="0"/>
    <x v="60"/>
    <n v="0.29689999999999994"/>
    <n v="7.3648999999999996"/>
    <n v="7.0990000000000011"/>
  </r>
  <r>
    <x v="76"/>
    <s v=" AxisOn Group"/>
    <x v="14"/>
    <x v="0"/>
    <x v="3"/>
    <n v="72"/>
    <n v="64.480099999999993"/>
    <n v="81.182500000000005"/>
    <n v="15.496600000000001"/>
    <n v="2159.5493999999999"/>
    <n v="2486.1275000000001"/>
    <n v="493.73469999999998"/>
    <x v="61"/>
    <n v="-16.702400000000011"/>
    <n v="1992.3928000000001"/>
    <n v="-326.57810000000018"/>
  </r>
  <r>
    <x v="77"/>
    <s v=" PureAim Cleaners"/>
    <x v="15"/>
    <x v="0"/>
    <x v="1"/>
    <n v="100"/>
    <n v="0"/>
    <n v="0"/>
    <n v="0.24490000000000001"/>
    <n v="0"/>
    <n v="0"/>
    <n v="9.7979000000000003"/>
    <x v="1"/>
    <n v="0"/>
    <n v="-9.7979000000000003"/>
    <n v="0"/>
  </r>
  <r>
    <x v="78"/>
    <s v=" PureAim Cleaners"/>
    <x v="15"/>
    <x v="0"/>
    <x v="1"/>
    <n v="100"/>
    <n v="0.22359999999999999"/>
    <n v="1.0136000000000001"/>
    <n v="0.81230000000000002"/>
    <n v="12.2155"/>
    <n v="49.151600000000002"/>
    <n v="34.919499999999999"/>
    <x v="62"/>
    <n v="-0.79"/>
    <n v="14.232100000000003"/>
    <n v="-36.936100000000003"/>
  </r>
  <r>
    <x v="79"/>
    <s v=" AlpineMeadow"/>
    <x v="16"/>
    <x v="0"/>
    <x v="0"/>
    <n v="20"/>
    <n v="15.0191"/>
    <n v="17.616800000000001"/>
    <n v="13.700200000000001"/>
    <n v="121.4559"/>
    <n v="162.24"/>
    <n v="126.0534"/>
    <x v="63"/>
    <n v="-2.5977000000000015"/>
    <n v="36.186600000000013"/>
    <n v="-40.784100000000009"/>
  </r>
  <r>
    <x v="80"/>
    <s v=" AlpineMeadow"/>
    <x v="16"/>
    <x v="0"/>
    <x v="0"/>
    <n v="60"/>
    <n v="19.776399999999999"/>
    <n v="13.798299999999999"/>
    <n v="7.5656999999999996"/>
    <n v="281.97280000000001"/>
    <n v="222.7071"/>
    <n v="118.9547"/>
    <x v="64"/>
    <n v="5.9780999999999995"/>
    <n v="103.75239999999999"/>
    <n v="59.26570000000001"/>
  </r>
  <r>
    <x v="81"/>
    <s v=" AlpineMeadow"/>
    <x v="16"/>
    <x v="0"/>
    <x v="0"/>
    <n v="63"/>
    <n v="41.314100000000003"/>
    <n v="32.422600000000003"/>
    <n v="18.6829"/>
    <n v="549.64080000000001"/>
    <n v="416.84789999999998"/>
    <n v="241.38910000000001"/>
    <x v="65"/>
    <n v="8.8915000000000006"/>
    <n v="175.45879999999997"/>
    <n v="132.79290000000003"/>
  </r>
  <r>
    <x v="82"/>
    <s v=" AlpineMeadow"/>
    <x v="16"/>
    <x v="0"/>
    <x v="2"/>
    <n v="63"/>
    <n v="10.5054"/>
    <n v="0.496"/>
    <n v="0"/>
    <n v="168.06010000000001"/>
    <n v="9.3780000000000001"/>
    <n v="0"/>
    <x v="66"/>
    <n v="10.009399999999999"/>
    <n v="9.3780000000000001"/>
    <n v="158.68209999999999"/>
  </r>
  <r>
    <x v="83"/>
    <s v=" AlpineMeadow"/>
    <x v="16"/>
    <x v="0"/>
    <x v="0"/>
    <n v="63"/>
    <n v="26.694099999999999"/>
    <n v="16.9801"/>
    <n v="8.3484999999999996"/>
    <n v="362.30340000000001"/>
    <n v="234.6001"/>
    <n v="111.9991"/>
    <x v="67"/>
    <n v="9.7139999999999986"/>
    <n v="122.601"/>
    <n v="127.70330000000001"/>
  </r>
  <r>
    <x v="84"/>
    <s v=" BioRealm Corp"/>
    <x v="17"/>
    <x v="0"/>
    <x v="1"/>
    <n v="60"/>
    <n v="0.52039999999999997"/>
    <n v="1.6072"/>
    <n v="0.16420000000000001"/>
    <n v="10.5198"/>
    <n v="34.4998"/>
    <n v="3.1461000000000001"/>
    <x v="68"/>
    <n v="-1.0868"/>
    <n v="31.3537"/>
    <n v="-23.98"/>
  </r>
  <r>
    <x v="85"/>
    <s v=" TradeKing Cengiz"/>
    <x v="18"/>
    <x v="0"/>
    <x v="1"/>
    <n v="72"/>
    <n v="0"/>
    <n v="3.7900000000000003E-2"/>
    <n v="6.93E-2"/>
    <n v="0"/>
    <n v="2.3294000000000001"/>
    <n v="4.2670000000000003"/>
    <x v="1"/>
    <n v="-3.7900000000000003E-2"/>
    <n v="-1.9376000000000002"/>
    <n v="-2.3294000000000001"/>
  </r>
  <r>
    <x v="86"/>
    <s v=" ClearSight"/>
    <x v="19"/>
    <x v="0"/>
    <x v="1"/>
    <n v="25"/>
    <n v="0"/>
    <n v="8.6E-3"/>
    <n v="13.3878"/>
    <n v="0"/>
    <n v="0.19639999999999999"/>
    <n v="341.02409999999998"/>
    <x v="1"/>
    <n v="-8.6E-3"/>
    <n v="-340.82769999999999"/>
    <n v="-0.19639999999999999"/>
  </r>
  <r>
    <x v="87"/>
    <s v=" ClearSight"/>
    <x v="19"/>
    <x v="0"/>
    <x v="1"/>
    <n v="25"/>
    <n v="0"/>
    <n v="4.8898999999999999"/>
    <n v="10.664400000000001"/>
    <n v="0"/>
    <n v="145.9169"/>
    <n v="284.60649999999998"/>
    <x v="1"/>
    <n v="-4.8898999999999999"/>
    <n v="-138.68959999999998"/>
    <n v="-145.9169"/>
  </r>
  <r>
    <x v="88"/>
    <s v=" ClearSight"/>
    <x v="19"/>
    <x v="0"/>
    <x v="1"/>
    <n v="25"/>
    <n v="0"/>
    <n v="5.8544999999999998"/>
    <n v="9.0564"/>
    <n v="0"/>
    <n v="166.38579999999999"/>
    <n v="238.54349999999999"/>
    <x v="1"/>
    <n v="-5.8544999999999998"/>
    <n v="-72.157700000000006"/>
    <n v="-166.38579999999999"/>
  </r>
  <r>
    <x v="89"/>
    <s v=" ClearSight"/>
    <x v="19"/>
    <x v="0"/>
    <x v="1"/>
    <n v="66"/>
    <n v="0"/>
    <n v="0"/>
    <n v="0.9879"/>
    <n v="0"/>
    <n v="0"/>
    <n v="34.929000000000002"/>
    <x v="1"/>
    <n v="0"/>
    <n v="-34.929000000000002"/>
    <n v="0"/>
  </r>
  <r>
    <x v="90"/>
    <s v=" ClearSight"/>
    <x v="19"/>
    <x v="0"/>
    <x v="1"/>
    <n v="80"/>
    <n v="15.267200000000001"/>
    <n v="16.318300000000001"/>
    <n v="16.784099999999999"/>
    <n v="431.15870000000001"/>
    <n v="473.67329999999998"/>
    <n v="505.80540000000002"/>
    <x v="69"/>
    <n v="-1.0510999999999999"/>
    <n v="-32.132100000000037"/>
    <n v="-42.514599999999973"/>
  </r>
  <r>
    <x v="91"/>
    <s v=" ClearSight"/>
    <x v="19"/>
    <x v="0"/>
    <x v="1"/>
    <n v="80"/>
    <n v="9.5295000000000005"/>
    <n v="13.395300000000001"/>
    <n v="18.126999999999999"/>
    <n v="274.45499999999998"/>
    <n v="396.72109999999998"/>
    <n v="559.59109999999998"/>
    <x v="70"/>
    <n v="-3.8658000000000001"/>
    <n v="-162.87"/>
    <n v="-122.26609999999999"/>
  </r>
  <r>
    <x v="92"/>
    <s v=" ClearSight"/>
    <x v="19"/>
    <x v="0"/>
    <x v="1"/>
    <n v="80"/>
    <n v="11.2293"/>
    <n v="14.7631"/>
    <n v="16.131900000000002"/>
    <n v="318.93810000000002"/>
    <n v="440.8152"/>
    <n v="474.58569999999997"/>
    <x v="71"/>
    <n v="-3.5337999999999994"/>
    <n v="-33.77049999999997"/>
    <n v="-121.87709999999998"/>
  </r>
  <r>
    <x v="93"/>
    <s v=" CodeInt B.V."/>
    <x v="20"/>
    <x v="0"/>
    <x v="0"/>
    <n v="60"/>
    <n v="1.03E-2"/>
    <n v="0"/>
    <n v="0"/>
    <n v="0.3876"/>
    <n v="0"/>
    <n v="0"/>
    <x v="1"/>
    <n v="1.03E-2"/>
    <n v="0"/>
    <n v="0.3876"/>
  </r>
  <r>
    <x v="94"/>
    <s v=" ChillClean"/>
    <x v="21"/>
    <x v="0"/>
    <x v="0"/>
    <n v="120"/>
    <n v="0"/>
    <n v="1.8077000000000001"/>
    <n v="54.250700000000002"/>
    <n v="0"/>
    <n v="127.6024"/>
    <n v="2956.24"/>
    <x v="1"/>
    <n v="-1.8077000000000001"/>
    <n v="-2828.6375999999996"/>
    <n v="-127.6024"/>
  </r>
  <r>
    <x v="95"/>
    <s v=" Cosmopolitan Italy"/>
    <x v="22"/>
    <x v="0"/>
    <x v="0"/>
    <n v="20"/>
    <n v="0"/>
    <n v="0.1202"/>
    <n v="0"/>
    <n v="0"/>
    <n v="2.4085999999999999"/>
    <n v="0"/>
    <x v="1"/>
    <n v="-0.1202"/>
    <n v="2.4085999999999999"/>
    <n v="-2.4085999999999999"/>
  </r>
  <r>
    <x v="96"/>
    <s v=" CottonUnion"/>
    <x v="23"/>
    <x v="0"/>
    <x v="1"/>
    <n v="120"/>
    <n v="28.356999999999999"/>
    <n v="20.580200000000001"/>
    <n v="0.78890000000000005"/>
    <n v="1646.7402"/>
    <n v="1088.8000999999999"/>
    <n v="38.968699999999998"/>
    <x v="72"/>
    <n v="7.7767999999999979"/>
    <n v="1049.8314"/>
    <n v="557.94010000000003"/>
  </r>
  <r>
    <x v="97"/>
    <s v=" CottonUnion"/>
    <x v="23"/>
    <x v="0"/>
    <x v="2"/>
    <n v="120"/>
    <n v="12.003299999999999"/>
    <n v="12.0252"/>
    <n v="1.8045"/>
    <n v="643.41989999999998"/>
    <n v="689.18370000000004"/>
    <n v="98.837400000000002"/>
    <x v="73"/>
    <n v="-2.1900000000000475E-2"/>
    <n v="590.34630000000004"/>
    <n v="-45.76380000000006"/>
  </r>
  <r>
    <x v="98"/>
    <s v=" CottonUnion"/>
    <x v="23"/>
    <x v="0"/>
    <x v="2"/>
    <n v="120"/>
    <n v="0.11600000000000001"/>
    <n v="0"/>
    <n v="0"/>
    <n v="6.96"/>
    <n v="0"/>
    <n v="0"/>
    <x v="1"/>
    <n v="0.11600000000000001"/>
    <n v="0"/>
    <n v="6.96"/>
  </r>
  <r>
    <x v="99"/>
    <s v=" CottonUnion"/>
    <x v="23"/>
    <x v="0"/>
    <x v="1"/>
    <n v="60"/>
    <n v="4.6429999999999998"/>
    <n v="2.3708"/>
    <n v="3.8805999999999998"/>
    <n v="208.76240000000001"/>
    <n v="99.124899999999997"/>
    <n v="163.75460000000001"/>
    <x v="74"/>
    <n v="2.2721999999999998"/>
    <n v="-64.629700000000014"/>
    <n v="109.63750000000002"/>
  </r>
  <r>
    <x v="100"/>
    <s v=" CottonUnion"/>
    <x v="23"/>
    <x v="0"/>
    <x v="2"/>
    <n v="72"/>
    <n v="8.5853000000000002"/>
    <n v="4.2140000000000004"/>
    <n v="0.26250000000000001"/>
    <n v="402.53930000000003"/>
    <n v="207.43709999999999"/>
    <n v="13.0296"/>
    <x v="75"/>
    <n v="4.3712999999999997"/>
    <n v="194.4075"/>
    <n v="195.10220000000004"/>
  </r>
  <r>
    <x v="101"/>
    <s v=" CottonUnion"/>
    <x v="23"/>
    <x v="0"/>
    <x v="1"/>
    <n v="72"/>
    <n v="0.83140000000000003"/>
    <n v="1.5299999999999999E-2"/>
    <n v="0"/>
    <n v="39.196399999999997"/>
    <n v="0.64800000000000002"/>
    <n v="0"/>
    <x v="11"/>
    <n v="0.81610000000000005"/>
    <n v="0.64800000000000002"/>
    <n v="38.548399999999994"/>
  </r>
  <r>
    <x v="102"/>
    <s v=" CottonUnion"/>
    <x v="23"/>
    <x v="0"/>
    <x v="1"/>
    <n v="90"/>
    <n v="2.9493999999999998"/>
    <n v="0.27079999999999999"/>
    <n v="0"/>
    <n v="169.64840000000001"/>
    <n v="12.904400000000001"/>
    <n v="0"/>
    <x v="76"/>
    <n v="2.6785999999999999"/>
    <n v="12.904400000000001"/>
    <n v="156.744"/>
  </r>
  <r>
    <x v="103"/>
    <s v=" CottonUnion"/>
    <x v="24"/>
    <x v="0"/>
    <x v="4"/>
    <n v="100"/>
    <n v="4.0140000000000002"/>
    <n v="0"/>
    <n v="0"/>
    <n v="230.286"/>
    <n v="0"/>
    <n v="0"/>
    <x v="1"/>
    <n v="4.0140000000000002"/>
    <n v="0"/>
    <n v="230.286"/>
  </r>
  <r>
    <x v="104"/>
    <s v=" CottonUnion"/>
    <x v="24"/>
    <x v="0"/>
    <x v="0"/>
    <n v="63"/>
    <n v="4.0500000000000001E-2"/>
    <n v="0"/>
    <n v="0"/>
    <n v="2.8330000000000002"/>
    <n v="0"/>
    <n v="0"/>
    <x v="1"/>
    <n v="4.0500000000000001E-2"/>
    <n v="0"/>
    <n v="2.8330000000000002"/>
  </r>
  <r>
    <x v="105"/>
    <s v=" CottonUnion"/>
    <x v="25"/>
    <x v="0"/>
    <x v="2"/>
    <n v="120"/>
    <n v="0.76770000000000005"/>
    <n v="0"/>
    <n v="0"/>
    <n v="46.441400000000002"/>
    <n v="0"/>
    <n v="0"/>
    <x v="1"/>
    <n v="0.76770000000000005"/>
    <n v="0"/>
    <n v="46.441400000000002"/>
  </r>
  <r>
    <x v="106"/>
    <s v=" CottonUnion"/>
    <x v="25"/>
    <x v="0"/>
    <x v="1"/>
    <n v="90"/>
    <n v="0.86809999999999998"/>
    <n v="0"/>
    <n v="0"/>
    <n v="43.337600000000002"/>
    <n v="0"/>
    <n v="0"/>
    <x v="1"/>
    <n v="0.86809999999999998"/>
    <n v="0"/>
    <n v="43.337600000000002"/>
  </r>
  <r>
    <x v="107"/>
    <s v=" CottonUnion"/>
    <x v="26"/>
    <x v="0"/>
    <x v="1"/>
    <n v="15"/>
    <n v="9.5548999999999999"/>
    <n v="16.797000000000001"/>
    <n v="14.8012"/>
    <n v="338.9522"/>
    <n v="643.8528"/>
    <n v="454.05590000000001"/>
    <x v="77"/>
    <n v="-7.2421000000000006"/>
    <n v="189.79689999999999"/>
    <n v="-304.9006"/>
  </r>
  <r>
    <x v="108"/>
    <s v=" CottonUnion"/>
    <x v="27"/>
    <x v="0"/>
    <x v="1"/>
    <n v="120"/>
    <n v="21.0763"/>
    <n v="7.9172000000000002"/>
    <n v="0.35720000000000002"/>
    <n v="1178.5386000000001"/>
    <n v="421.82799999999997"/>
    <n v="19.481100000000001"/>
    <x v="78"/>
    <n v="13.159099999999999"/>
    <n v="402.34689999999995"/>
    <n v="756.71060000000011"/>
  </r>
  <r>
    <x v="109"/>
    <s v=" CottonUnion"/>
    <x v="27"/>
    <x v="0"/>
    <x v="2"/>
    <n v="120"/>
    <n v="59.8855"/>
    <n v="18.673500000000001"/>
    <n v="4.4382000000000001"/>
    <n v="3588.4739"/>
    <n v="1054.2443000000001"/>
    <n v="241.28020000000001"/>
    <x v="79"/>
    <n v="41.212000000000003"/>
    <n v="812.96410000000003"/>
    <n v="2534.2295999999997"/>
  </r>
  <r>
    <x v="110"/>
    <s v=" CottonUnion"/>
    <x v="28"/>
    <x v="0"/>
    <x v="1"/>
    <n v="120"/>
    <n v="37.596899999999998"/>
    <n v="28.031099999999999"/>
    <n v="1.2394000000000001"/>
    <n v="2231.0284000000001"/>
    <n v="1606.1090999999999"/>
    <n v="64.665899999999993"/>
    <x v="80"/>
    <n v="9.5657999999999994"/>
    <n v="1541.4431999999999"/>
    <n v="624.91930000000025"/>
  </r>
  <r>
    <x v="111"/>
    <s v=" CottonUnion"/>
    <x v="29"/>
    <x v="0"/>
    <x v="1"/>
    <n v="72"/>
    <n v="4.1798000000000002"/>
    <n v="0"/>
    <n v="0"/>
    <n v="212.80930000000001"/>
    <n v="0"/>
    <n v="0"/>
    <x v="1"/>
    <n v="4.1798000000000002"/>
    <n v="0"/>
    <n v="212.80930000000001"/>
  </r>
  <r>
    <x v="112"/>
    <s v=" CottonUnion"/>
    <x v="29"/>
    <x v="0"/>
    <x v="1"/>
    <n v="72"/>
    <n v="16.9573"/>
    <n v="8.0383999999999993"/>
    <n v="4.7045000000000003"/>
    <n v="973.13670000000002"/>
    <n v="460.75880000000001"/>
    <n v="246.6643"/>
    <x v="81"/>
    <n v="8.9189000000000007"/>
    <n v="214.09450000000001"/>
    <n v="512.37789999999995"/>
  </r>
  <r>
    <x v="113"/>
    <s v=" EnkaHygiene"/>
    <x v="30"/>
    <x v="0"/>
    <x v="2"/>
    <n v="120"/>
    <n v="8.9794"/>
    <n v="0"/>
    <n v="0"/>
    <n v="618.46879999999999"/>
    <n v="0"/>
    <n v="0"/>
    <x v="1"/>
    <n v="8.9794"/>
    <n v="0"/>
    <n v="618.46879999999999"/>
  </r>
  <r>
    <x v="114"/>
    <s v=" ErusHealth Products"/>
    <x v="31"/>
    <x v="0"/>
    <x v="1"/>
    <n v="120"/>
    <n v="0"/>
    <n v="9.4999999999999998E-3"/>
    <n v="0"/>
    <n v="0"/>
    <n v="0.51649999999999996"/>
    <n v="0"/>
    <x v="1"/>
    <n v="-9.4999999999999998E-3"/>
    <n v="0.51649999999999996"/>
    <n v="-0.51649999999999996"/>
  </r>
  <r>
    <x v="115"/>
    <s v=" ErusHealth Products"/>
    <x v="32"/>
    <x v="0"/>
    <x v="3"/>
    <n v="110"/>
    <n v="0.34189999999999998"/>
    <n v="0"/>
    <n v="0"/>
    <n v="17.095199999999998"/>
    <n v="0"/>
    <n v="0"/>
    <x v="1"/>
    <n v="0.34189999999999998"/>
    <n v="0"/>
    <n v="17.095199999999998"/>
  </r>
  <r>
    <x v="116"/>
    <s v=" ErusHealth Products"/>
    <x v="32"/>
    <x v="0"/>
    <x v="2"/>
    <n v="120"/>
    <n v="0"/>
    <n v="36.513300000000001"/>
    <n v="9.9184000000000001"/>
    <n v="0"/>
    <n v="2225.7903999999999"/>
    <n v="665.84569999999997"/>
    <x v="1"/>
    <n v="-36.513300000000001"/>
    <n v="1559.9447"/>
    <n v="-2225.7903999999999"/>
  </r>
  <r>
    <x v="117"/>
    <s v=" ErusHealth Products"/>
    <x v="32"/>
    <x v="0"/>
    <x v="2"/>
    <n v="120"/>
    <n v="0"/>
    <n v="28.314"/>
    <n v="9.1574000000000009"/>
    <n v="0"/>
    <n v="1712.6693"/>
    <n v="592.38390000000004"/>
    <x v="1"/>
    <n v="-28.314"/>
    <n v="1120.2854"/>
    <n v="-1712.6693"/>
  </r>
  <r>
    <x v="118"/>
    <s v=" ErusHealth Products"/>
    <x v="32"/>
    <x v="0"/>
    <x v="2"/>
    <n v="120"/>
    <n v="0"/>
    <n v="24.999500000000001"/>
    <n v="5.0659999999999998"/>
    <n v="0"/>
    <n v="1534.4268"/>
    <n v="349.95659999999998"/>
    <x v="1"/>
    <n v="-24.999500000000001"/>
    <n v="1184.4702"/>
    <n v="-1534.4268"/>
  </r>
  <r>
    <x v="119"/>
    <s v=" ErusHealth Products"/>
    <x v="32"/>
    <x v="0"/>
    <x v="1"/>
    <n v="120"/>
    <n v="25.1"/>
    <n v="61.22"/>
    <n v="8.9021000000000008"/>
    <n v="1136.2986000000001"/>
    <n v="3402.5661"/>
    <n v="613.3809"/>
    <x v="82"/>
    <n v="-36.119999999999997"/>
    <n v="2789.1851999999999"/>
    <n v="-2266.2674999999999"/>
  </r>
  <r>
    <x v="120"/>
    <s v=" ErusHealth Products"/>
    <x v="32"/>
    <x v="0"/>
    <x v="2"/>
    <n v="120"/>
    <n v="0"/>
    <n v="18.822399999999998"/>
    <n v="7.1738"/>
    <n v="0"/>
    <n v="1176.8929000000001"/>
    <n v="487.85019999999997"/>
    <x v="1"/>
    <n v="-18.822399999999998"/>
    <n v="689.04270000000008"/>
    <n v="-1176.8929000000001"/>
  </r>
  <r>
    <x v="121"/>
    <s v=" ErusHealth Products"/>
    <x v="32"/>
    <x v="0"/>
    <x v="1"/>
    <n v="15"/>
    <n v="1.24"/>
    <n v="2.9891000000000001"/>
    <n v="0.81240000000000001"/>
    <n v="69.486800000000002"/>
    <n v="154.24979999999999"/>
    <n v="41.637500000000003"/>
    <x v="83"/>
    <n v="-1.7491000000000001"/>
    <n v="112.61229999999999"/>
    <n v="-84.762999999999991"/>
  </r>
  <r>
    <x v="122"/>
    <s v=" ErusHealth Products"/>
    <x v="32"/>
    <x v="0"/>
    <x v="1"/>
    <n v="70"/>
    <n v="1.1599999999999999"/>
    <n v="1.8923000000000001"/>
    <n v="0"/>
    <n v="44.862200000000001"/>
    <n v="87.694800000000001"/>
    <n v="0"/>
    <x v="84"/>
    <n v="-0.73230000000000017"/>
    <n v="87.694800000000001"/>
    <n v="-42.832599999999999"/>
  </r>
  <r>
    <x v="123"/>
    <s v=" ErusHealth Products"/>
    <x v="32"/>
    <x v="0"/>
    <x v="0"/>
    <n v="90"/>
    <n v="0"/>
    <n v="14.477"/>
    <n v="3.1046999999999998"/>
    <n v="0"/>
    <n v="762.29949999999997"/>
    <n v="149.91970000000001"/>
    <x v="1"/>
    <n v="-14.477"/>
    <n v="612.37979999999993"/>
    <n v="-762.29949999999997"/>
  </r>
  <r>
    <x v="124"/>
    <s v=" ErusHealth Products"/>
    <x v="33"/>
    <x v="0"/>
    <x v="2"/>
    <n v="120"/>
    <n v="0.25940000000000002"/>
    <n v="47.287300000000002"/>
    <n v="13.3363"/>
    <n v="15.5664"/>
    <n v="2338.1842000000001"/>
    <n v="671.9117"/>
    <x v="85"/>
    <n v="-47.027900000000002"/>
    <n v="1666.2725"/>
    <n v="-2322.6178"/>
  </r>
  <r>
    <x v="125"/>
    <s v=" ErusHealth Products"/>
    <x v="33"/>
    <x v="0"/>
    <x v="2"/>
    <n v="15"/>
    <n v="0"/>
    <n v="5.6702000000000004"/>
    <n v="10.135199999999999"/>
    <n v="0"/>
    <n v="206.95869999999999"/>
    <n v="365.12360000000001"/>
    <x v="1"/>
    <n v="-5.6702000000000004"/>
    <n v="-158.16490000000002"/>
    <n v="-206.95869999999999"/>
  </r>
  <r>
    <x v="126"/>
    <s v=" Esburg Health"/>
    <x v="34"/>
    <x v="0"/>
    <x v="3"/>
    <n v="120"/>
    <n v="0"/>
    <n v="82.250100000000003"/>
    <n v="55.842500000000001"/>
    <n v="0"/>
    <n v="5284.8972000000003"/>
    <n v="3137.2123999999999"/>
    <x v="1"/>
    <n v="-82.250100000000003"/>
    <n v="2147.6848000000005"/>
    <n v="-5284.8972000000003"/>
  </r>
  <r>
    <x v="127"/>
    <s v=" Esburg Health"/>
    <x v="34"/>
    <x v="0"/>
    <x v="3"/>
    <n v="120"/>
    <n v="0"/>
    <n v="88.414900000000003"/>
    <n v="45.6905"/>
    <n v="0"/>
    <n v="5662.4585999999999"/>
    <n v="2576.6464000000001"/>
    <x v="1"/>
    <n v="-88.414900000000003"/>
    <n v="3085.8121999999998"/>
    <n v="-5662.4585999999999"/>
  </r>
  <r>
    <x v="128"/>
    <s v=" SCProducts"/>
    <x v="35"/>
    <x v="0"/>
    <x v="1"/>
    <n v="72"/>
    <n v="0.24010000000000001"/>
    <n v="0"/>
    <n v="0"/>
    <n v="10.8056"/>
    <n v="0"/>
    <n v="0"/>
    <x v="1"/>
    <n v="0.24010000000000001"/>
    <n v="0"/>
    <n v="10.8056"/>
  </r>
  <r>
    <x v="129"/>
    <s v=" EssentialsCo"/>
    <x v="36"/>
    <x v="0"/>
    <x v="2"/>
    <n v="20"/>
    <n v="8.8999999999999999E-3"/>
    <n v="1.9E-3"/>
    <n v="0"/>
    <n v="0.1"/>
    <n v="0.02"/>
    <n v="0"/>
    <x v="86"/>
    <n v="7.0000000000000001E-3"/>
    <n v="0.02"/>
    <n v="0.08"/>
  </r>
  <r>
    <x v="130"/>
    <s v=" EssentialsCo"/>
    <x v="36"/>
    <x v="0"/>
    <x v="2"/>
    <n v="20"/>
    <n v="3.6436000000000002"/>
    <n v="0.20610000000000001"/>
    <n v="0.1404"/>
    <n v="40.526699999999998"/>
    <n v="2.1286999999999998"/>
    <n v="1.4401999999999999"/>
    <x v="87"/>
    <n v="3.4375"/>
    <n v="0.68849999999999989"/>
    <n v="38.397999999999996"/>
  </r>
  <r>
    <x v="131"/>
    <s v=" EssentialsCo"/>
    <x v="36"/>
    <x v="0"/>
    <x v="2"/>
    <n v="64"/>
    <n v="4.9200000000000001E-2"/>
    <n v="1.14E-2"/>
    <n v="0"/>
    <n v="3.4851000000000001"/>
    <n v="0.25600000000000001"/>
    <n v="0"/>
    <x v="88"/>
    <n v="3.78E-2"/>
    <n v="0.25600000000000001"/>
    <n v="3.2290999999999999"/>
  </r>
  <r>
    <x v="132"/>
    <s v=" EssentialsCo"/>
    <x v="36"/>
    <x v="0"/>
    <x v="2"/>
    <n v="64"/>
    <n v="4.9882"/>
    <n v="0.97860000000000003"/>
    <n v="0"/>
    <n v="116.9594"/>
    <n v="26.678799999999999"/>
    <n v="0"/>
    <x v="89"/>
    <n v="4.0095999999999998"/>
    <n v="26.678799999999999"/>
    <n v="90.280600000000007"/>
  </r>
  <r>
    <x v="133"/>
    <s v=" EveCraft"/>
    <x v="37"/>
    <x v="0"/>
    <x v="2"/>
    <n v="50"/>
    <n v="0"/>
    <n v="0"/>
    <n v="0.16420000000000001"/>
    <n v="0"/>
    <n v="0"/>
    <n v="5.0327000000000002"/>
    <x v="1"/>
    <n v="0"/>
    <n v="-5.0327000000000002"/>
    <n v="0"/>
  </r>
  <r>
    <x v="134"/>
    <s v=" EveCraft"/>
    <x v="37"/>
    <x v="0"/>
    <x v="2"/>
    <n v="56"/>
    <n v="2.3513000000000002"/>
    <n v="13.7189"/>
    <n v="5.1338999999999997"/>
    <n v="93.938999999999993"/>
    <n v="476.75330000000002"/>
    <n v="161.36660000000001"/>
    <x v="90"/>
    <n v="-11.367599999999999"/>
    <n v="315.38670000000002"/>
    <n v="-382.8143"/>
  </r>
  <r>
    <x v="135"/>
    <s v=" EveCraft"/>
    <x v="37"/>
    <x v="0"/>
    <x v="2"/>
    <n v="60"/>
    <n v="7.0484"/>
    <n v="24.545400000000001"/>
    <n v="7.2644000000000002"/>
    <n v="315.70249999999999"/>
    <n v="945.68759999999997"/>
    <n v="273.77960000000002"/>
    <x v="91"/>
    <n v="-17.497"/>
    <n v="671.9079999999999"/>
    <n v="-629.98509999999999"/>
  </r>
  <r>
    <x v="136"/>
    <s v=" EveCraft"/>
    <x v="37"/>
    <x v="0"/>
    <x v="2"/>
    <n v="60"/>
    <n v="6.2529000000000003"/>
    <n v="0"/>
    <n v="0"/>
    <n v="300.22300000000001"/>
    <n v="0"/>
    <n v="0"/>
    <x v="1"/>
    <n v="6.2529000000000003"/>
    <n v="0"/>
    <n v="300.22300000000001"/>
  </r>
  <r>
    <x v="137"/>
    <s v=" FemmeBeauty"/>
    <x v="38"/>
    <x v="0"/>
    <x v="1"/>
    <n v="72"/>
    <n v="1.6668000000000001"/>
    <n v="3.7600000000000001E-2"/>
    <n v="0"/>
    <n v="75.837299999999999"/>
    <n v="1.6555"/>
    <n v="0"/>
    <x v="92"/>
    <n v="1.6292"/>
    <n v="1.6555"/>
    <n v="74.181799999999996"/>
  </r>
  <r>
    <x v="138"/>
    <s v=" FemmeBeauty"/>
    <x v="38"/>
    <x v="0"/>
    <x v="1"/>
    <n v="72"/>
    <n v="7.5975000000000001"/>
    <n v="0.1353"/>
    <n v="3.0000000000000001E-3"/>
    <n v="283.12259999999998"/>
    <n v="3.3016999999999999"/>
    <n v="7.1999999999999995E-2"/>
    <x v="93"/>
    <n v="7.4622000000000002"/>
    <n v="3.2296999999999998"/>
    <n v="279.82089999999999"/>
  </r>
  <r>
    <x v="139"/>
    <s v=" Fulya Beauty"/>
    <x v="39"/>
    <x v="0"/>
    <x v="2"/>
    <n v="72"/>
    <n v="2.5741999999999998"/>
    <n v="0.57930000000000004"/>
    <n v="9.0300000000000005E-2"/>
    <n v="138.52269999999999"/>
    <n v="28.2058"/>
    <n v="3.9451999999999998"/>
    <x v="94"/>
    <n v="1.9948999999999999"/>
    <n v="24.2606"/>
    <n v="110.31689999999999"/>
  </r>
  <r>
    <x v="140"/>
    <s v=" Fulya Beauty"/>
    <x v="39"/>
    <x v="0"/>
    <x v="0"/>
    <n v="72"/>
    <n v="0"/>
    <n v="3.2000000000000002E-3"/>
    <n v="0"/>
    <n v="0"/>
    <n v="0.14879999999999999"/>
    <n v="0"/>
    <x v="1"/>
    <n v="-3.2000000000000002E-3"/>
    <n v="0.14879999999999999"/>
    <n v="-0.14879999999999999"/>
  </r>
  <r>
    <x v="141"/>
    <s v=" Fulya Beauty"/>
    <x v="40"/>
    <x v="0"/>
    <x v="1"/>
    <n v="120"/>
    <n v="29.782299999999999"/>
    <n v="8.0821000000000005"/>
    <n v="2.2058"/>
    <n v="1812.3146999999999"/>
    <n v="442.9864"/>
    <n v="129.73259999999999"/>
    <x v="95"/>
    <n v="21.700199999999999"/>
    <n v="313.25380000000001"/>
    <n v="1369.3282999999999"/>
  </r>
  <r>
    <x v="142"/>
    <s v=" Fulya Beauty"/>
    <x v="40"/>
    <x v="0"/>
    <x v="0"/>
    <n v="64"/>
    <n v="0.4194"/>
    <n v="0.27539999999999998"/>
    <n v="7.5600000000000001E-2"/>
    <n v="22.036999999999999"/>
    <n v="13.908200000000001"/>
    <n v="3.7229000000000001"/>
    <x v="96"/>
    <n v="0.14400000000000002"/>
    <n v="10.185300000000002"/>
    <n v="8.1287999999999982"/>
  </r>
  <r>
    <x v="143"/>
    <s v=" Fulya Beauty"/>
    <x v="41"/>
    <x v="0"/>
    <x v="1"/>
    <n v="120"/>
    <n v="393.93759999999997"/>
    <n v="316.5532"/>
    <n v="120.4361"/>
    <n v="20334.628400000001"/>
    <n v="15456.115599999999"/>
    <n v="5660.8364000000001"/>
    <x v="97"/>
    <n v="77.384399999999971"/>
    <n v="9795.279199999999"/>
    <n v="4878.5128000000022"/>
  </r>
  <r>
    <x v="144"/>
    <s v=" Fulya Beauty"/>
    <x v="41"/>
    <x v="0"/>
    <x v="1"/>
    <n v="72"/>
    <n v="11.008699999999999"/>
    <n v="0"/>
    <n v="0"/>
    <n v="653.37990000000002"/>
    <n v="0"/>
    <n v="0"/>
    <x v="1"/>
    <n v="11.008699999999999"/>
    <n v="0"/>
    <n v="653.37990000000002"/>
  </r>
  <r>
    <x v="145"/>
    <s v=" Fulya Beauty"/>
    <x v="41"/>
    <x v="0"/>
    <x v="1"/>
    <n v="72"/>
    <n v="6.3380999999999998"/>
    <n v="2.2010000000000001"/>
    <n v="4.9340999999999999"/>
    <n v="360.70839999999998"/>
    <n v="122.7465"/>
    <n v="260.16239999999999"/>
    <x v="98"/>
    <n v="4.1371000000000002"/>
    <n v="-137.41589999999999"/>
    <n v="237.96189999999999"/>
  </r>
  <r>
    <x v="146"/>
    <s v=" Fulya Beauty"/>
    <x v="41"/>
    <x v="0"/>
    <x v="1"/>
    <n v="72"/>
    <n v="17.2865"/>
    <n v="3.1953"/>
    <n v="0"/>
    <n v="1104.6166000000001"/>
    <n v="157.0744"/>
    <n v="0"/>
    <x v="99"/>
    <n v="14.091200000000001"/>
    <n v="157.0744"/>
    <n v="947.54220000000009"/>
  </r>
  <r>
    <x v="147"/>
    <s v=" Fulya Beauty"/>
    <x v="41"/>
    <x v="0"/>
    <x v="0"/>
    <n v="72"/>
    <n v="8.3360000000000003"/>
    <n v="4.1882999999999999"/>
    <n v="0.16869999999999999"/>
    <n v="355.34039999999999"/>
    <n v="181.6489"/>
    <n v="7.0335999999999999"/>
    <x v="100"/>
    <n v="4.1477000000000004"/>
    <n v="174.61529999999999"/>
    <n v="173.69149999999999"/>
  </r>
  <r>
    <x v="148"/>
    <s v=" Fulya Beauty"/>
    <x v="41"/>
    <x v="0"/>
    <x v="2"/>
    <n v="72"/>
    <n v="10.51"/>
    <n v="23.858699999999999"/>
    <n v="12.9741"/>
    <n v="602.08569999999997"/>
    <n v="1188.0914"/>
    <n v="658.29200000000003"/>
    <x v="101"/>
    <n v="-13.348699999999999"/>
    <n v="529.79939999999999"/>
    <n v="-586.00570000000005"/>
  </r>
  <r>
    <x v="149"/>
    <s v=" Fulya Beauty"/>
    <x v="41"/>
    <x v="0"/>
    <x v="1"/>
    <n v="72"/>
    <n v="0.1246"/>
    <n v="0"/>
    <n v="4.1500000000000002E-2"/>
    <n v="7.4763999999999999"/>
    <n v="0"/>
    <n v="3.0169000000000001"/>
    <x v="1"/>
    <n v="0.1246"/>
    <n v="-3.0169000000000001"/>
    <n v="7.4763999999999999"/>
  </r>
  <r>
    <x v="150"/>
    <s v=" Fulya Beauty"/>
    <x v="41"/>
    <x v="0"/>
    <x v="1"/>
    <n v="90"/>
    <n v="0"/>
    <n v="1.9545999999999999"/>
    <n v="2.1882000000000001"/>
    <n v="0"/>
    <n v="80.589100000000002"/>
    <n v="78.875"/>
    <x v="1"/>
    <n v="-1.9545999999999999"/>
    <n v="1.714100000000002"/>
    <n v="-80.589100000000002"/>
  </r>
  <r>
    <x v="151"/>
    <s v=" Fulya Beauty"/>
    <x v="41"/>
    <x v="0"/>
    <x v="3"/>
    <n v="90"/>
    <n v="4.02E-2"/>
    <n v="0"/>
    <n v="5.1000000000000004E-3"/>
    <n v="1.9040999999999999"/>
    <n v="0"/>
    <n v="0.1958"/>
    <x v="1"/>
    <n v="4.02E-2"/>
    <n v="-0.1958"/>
    <n v="1.9040999999999999"/>
  </r>
  <r>
    <x v="152"/>
    <s v=" Fulya Beauty"/>
    <x v="42"/>
    <x v="0"/>
    <x v="1"/>
    <n v="100"/>
    <n v="0"/>
    <n v="6.88E-2"/>
    <n v="1.5603"/>
    <n v="0"/>
    <n v="2.9011"/>
    <n v="56.070300000000003"/>
    <x v="1"/>
    <n v="-6.88E-2"/>
    <n v="-53.169200000000004"/>
    <n v="-2.9011"/>
  </r>
  <r>
    <x v="153"/>
    <s v=" Fulya Beauty"/>
    <x v="43"/>
    <x v="0"/>
    <x v="1"/>
    <n v="72"/>
    <n v="225.05289999999999"/>
    <n v="160.9256"/>
    <n v="66.089799999999997"/>
    <n v="14096.87"/>
    <n v="9843.2201000000005"/>
    <n v="3643.3836000000001"/>
    <x v="102"/>
    <n v="64.127299999999991"/>
    <n v="6199.8365000000003"/>
    <n v="4253.6499000000003"/>
  </r>
  <r>
    <x v="154"/>
    <s v=" Fulya Beauty"/>
    <x v="44"/>
    <x v="0"/>
    <x v="2"/>
    <n v="72"/>
    <n v="27.677700000000002"/>
    <n v="22.1416"/>
    <n v="9.0610999999999997"/>
    <n v="1974.3932"/>
    <n v="1482.2675999999999"/>
    <n v="601.1807"/>
    <x v="103"/>
    <n v="5.5361000000000011"/>
    <n v="881.0868999999999"/>
    <n v="492.12560000000008"/>
  </r>
  <r>
    <x v="155"/>
    <s v=" Fulya Beauty"/>
    <x v="45"/>
    <x v="0"/>
    <x v="2"/>
    <n v="120"/>
    <n v="41.221899999999998"/>
    <n v="44.201300000000003"/>
    <n v="20.616900000000001"/>
    <n v="1922.9742000000001"/>
    <n v="2020.3897999999999"/>
    <n v="923.72320000000002"/>
    <x v="104"/>
    <n v="-2.9794000000000054"/>
    <n v="1096.6666"/>
    <n v="-97.415599999999813"/>
  </r>
  <r>
    <x v="156"/>
    <s v=" Fulya Beauty"/>
    <x v="45"/>
    <x v="0"/>
    <x v="2"/>
    <n v="120"/>
    <n v="41.486600000000003"/>
    <n v="73.395700000000005"/>
    <n v="40.033299999999997"/>
    <n v="2454.0007999999998"/>
    <n v="4307.1679999999997"/>
    <n v="2180.9749000000002"/>
    <x v="105"/>
    <n v="-31.909100000000002"/>
    <n v="2126.1930999999995"/>
    <n v="-1853.1671999999999"/>
  </r>
  <r>
    <x v="157"/>
    <s v=" Fulya Beauty"/>
    <x v="45"/>
    <x v="0"/>
    <x v="2"/>
    <n v="72"/>
    <n v="0"/>
    <n v="0"/>
    <n v="0.36020000000000002"/>
    <n v="0"/>
    <n v="0"/>
    <n v="18.523700000000002"/>
    <x v="1"/>
    <n v="0"/>
    <n v="-18.523700000000002"/>
    <n v="0"/>
  </r>
  <r>
    <x v="158"/>
    <s v=" Fulya Beauty"/>
    <x v="45"/>
    <x v="0"/>
    <x v="0"/>
    <n v="72"/>
    <n v="50.296300000000002"/>
    <n v="34.107599999999998"/>
    <n v="15.9543"/>
    <n v="3350.8564000000001"/>
    <n v="2178.5326"/>
    <n v="866.22"/>
    <x v="106"/>
    <n v="16.188700000000004"/>
    <n v="1312.3126"/>
    <n v="1172.3238000000001"/>
  </r>
  <r>
    <x v="159"/>
    <s v=" Fulya Beauty"/>
    <x v="45"/>
    <x v="0"/>
    <x v="0"/>
    <n v="72"/>
    <n v="5.0095999999999998"/>
    <n v="5.5152000000000001"/>
    <n v="4.4993999999999996"/>
    <n v="141.5444"/>
    <n v="154.2473"/>
    <n v="124.59650000000001"/>
    <x v="107"/>
    <n v="-0.50560000000000027"/>
    <n v="29.65079999999999"/>
    <n v="-12.7029"/>
  </r>
  <r>
    <x v="160"/>
    <s v=" Fulya Beauty"/>
    <x v="46"/>
    <x v="0"/>
    <x v="2"/>
    <n v="72"/>
    <n v="4.6416000000000004"/>
    <n v="5.1684999999999999"/>
    <n v="0.78010000000000002"/>
    <n v="142.55420000000001"/>
    <n v="145.93899999999999"/>
    <n v="21.435099999999998"/>
    <x v="108"/>
    <n v="-0.52689999999999948"/>
    <n v="124.50389999999999"/>
    <n v="-3.3847999999999843"/>
  </r>
  <r>
    <x v="161"/>
    <s v=" Fulya Beauty"/>
    <x v="31"/>
    <x v="0"/>
    <x v="2"/>
    <n v="120"/>
    <n v="137.1788"/>
    <n v="116.5658"/>
    <n v="65.912899999999993"/>
    <n v="7929.3796000000002"/>
    <n v="6740.5910999999996"/>
    <n v="3524.3125"/>
    <x v="109"/>
    <n v="20.613"/>
    <n v="3216.2785999999996"/>
    <n v="1188.7885000000006"/>
  </r>
  <r>
    <x v="162"/>
    <s v=" Grace Corp"/>
    <x v="47"/>
    <x v="0"/>
    <x v="1"/>
    <n v="100"/>
    <n v="14.2293"/>
    <n v="21.789000000000001"/>
    <n v="7.9466000000000001"/>
    <n v="761.61429999999996"/>
    <n v="1129.7994000000001"/>
    <n v="412.24349999999998"/>
    <x v="110"/>
    <n v="-7.5597000000000012"/>
    <n v="717.55590000000007"/>
    <n v="-368.18510000000015"/>
  </r>
  <r>
    <x v="163"/>
    <s v=" SouthernGroup SP"/>
    <x v="48"/>
    <x v="0"/>
    <x v="3"/>
    <n v="72"/>
    <n v="7.4866999999999999"/>
    <n v="1.5100000000000001E-2"/>
    <n v="0"/>
    <n v="509.18150000000003"/>
    <n v="0.77590000000000003"/>
    <n v="0"/>
    <x v="111"/>
    <n v="7.4715999999999996"/>
    <n v="0.77590000000000003"/>
    <n v="508.40560000000005"/>
  </r>
  <r>
    <x v="164"/>
    <s v=" AvellinoGroup SRL"/>
    <x v="49"/>
    <x v="0"/>
    <x v="3"/>
    <n v="63"/>
    <n v="1.3945000000000001"/>
    <n v="0"/>
    <n v="0"/>
    <n v="67.202299999999994"/>
    <n v="0"/>
    <n v="0"/>
    <x v="1"/>
    <n v="1.3945000000000001"/>
    <n v="0"/>
    <n v="67.202299999999994"/>
  </r>
  <r>
    <x v="165"/>
    <s v=" AvellinoGroup SRL"/>
    <x v="49"/>
    <x v="0"/>
    <x v="2"/>
    <n v="72"/>
    <n v="7.7927999999999997"/>
    <n v="0"/>
    <n v="0"/>
    <n v="362.96660000000003"/>
    <n v="0"/>
    <n v="0"/>
    <x v="1"/>
    <n v="7.7927999999999997"/>
    <n v="0"/>
    <n v="362.96660000000003"/>
  </r>
  <r>
    <x v="166"/>
    <s v=" RoseBeauty"/>
    <x v="50"/>
    <x v="0"/>
    <x v="0"/>
    <n v="72"/>
    <n v="63.770400000000002"/>
    <n v="23.340299999999999"/>
    <n v="11.8607"/>
    <n v="2545.3452000000002"/>
    <n v="949.45609999999999"/>
    <n v="459.19099999999997"/>
    <x v="112"/>
    <n v="40.430100000000003"/>
    <n v="490.26510000000002"/>
    <n v="1595.8891000000003"/>
  </r>
  <r>
    <x v="167"/>
    <s v=" RoseBeauty"/>
    <x v="50"/>
    <x v="0"/>
    <x v="2"/>
    <n v="72"/>
    <n v="12.7019"/>
    <n v="13.0259"/>
    <n v="5.5613999999999999"/>
    <n v="553.99599999999998"/>
    <n v="562.68320000000006"/>
    <n v="225.62440000000001"/>
    <x v="113"/>
    <n v="-0.32399999999999984"/>
    <n v="337.05880000000002"/>
    <n v="-8.6872000000000753"/>
  </r>
  <r>
    <x v="168"/>
    <s v=" RoseBeauty"/>
    <x v="51"/>
    <x v="0"/>
    <x v="1"/>
    <n v="72"/>
    <n v="0.59"/>
    <n v="0"/>
    <n v="0"/>
    <n v="18.470099999999999"/>
    <n v="0"/>
    <n v="0"/>
    <x v="1"/>
    <n v="0.59"/>
    <n v="0"/>
    <n v="18.470099999999999"/>
  </r>
  <r>
    <x v="169"/>
    <s v=" RoseBeauty"/>
    <x v="51"/>
    <x v="0"/>
    <x v="2"/>
    <n v="72"/>
    <n v="0.59"/>
    <n v="0"/>
    <n v="0"/>
    <n v="18.470099999999999"/>
    <n v="0"/>
    <n v="0"/>
    <x v="1"/>
    <n v="0.59"/>
    <n v="0"/>
    <n v="18.470099999999999"/>
  </r>
  <r>
    <x v="170"/>
    <s v=" CleanHarper"/>
    <x v="52"/>
    <x v="0"/>
    <x v="4"/>
    <n v="50"/>
    <n v="0"/>
    <n v="1.1446000000000001"/>
    <n v="0.29039999999999999"/>
    <n v="0"/>
    <n v="11.6808"/>
    <n v="3.3864000000000001"/>
    <x v="1"/>
    <n v="-1.1446000000000001"/>
    <n v="8.2943999999999996"/>
    <n v="-11.6808"/>
  </r>
  <r>
    <x v="171"/>
    <s v=" CleanHarper"/>
    <x v="52"/>
    <x v="0"/>
    <x v="4"/>
    <n v="50"/>
    <n v="0"/>
    <n v="0.49220000000000003"/>
    <n v="0.1164"/>
    <n v="0"/>
    <n v="4.2202000000000002"/>
    <n v="0.85"/>
    <x v="1"/>
    <n v="-0.49220000000000003"/>
    <n v="3.3702000000000001"/>
    <n v="-4.2202000000000002"/>
  </r>
  <r>
    <x v="172"/>
    <s v=" CleanHarper"/>
    <x v="52"/>
    <x v="0"/>
    <x v="1"/>
    <n v="50"/>
    <n v="0"/>
    <n v="1.4152"/>
    <n v="0.3513"/>
    <n v="0"/>
    <n v="20.5671"/>
    <n v="6.5918999999999999"/>
    <x v="1"/>
    <n v="-1.4152"/>
    <n v="13.975200000000001"/>
    <n v="-20.5671"/>
  </r>
  <r>
    <x v="173"/>
    <s v=" CleanHarper"/>
    <x v="53"/>
    <x v="0"/>
    <x v="0"/>
    <n v="120"/>
    <n v="6.1999999999999998E-3"/>
    <n v="21.155899999999999"/>
    <n v="10.029400000000001"/>
    <n v="0.32569999999999999"/>
    <n v="1092.0349000000001"/>
    <n v="489.28280000000001"/>
    <x v="114"/>
    <n v="-21.149699999999999"/>
    <n v="602.75210000000015"/>
    <n v="-1091.7092"/>
  </r>
  <r>
    <x v="174"/>
    <s v=" CleanHarper"/>
    <x v="53"/>
    <x v="0"/>
    <x v="0"/>
    <n v="72"/>
    <n v="230.74209999999999"/>
    <n v="277.85789999999997"/>
    <n v="133.2149"/>
    <n v="11792.3397"/>
    <n v="14416.314700000001"/>
    <n v="6626.5474000000004"/>
    <x v="115"/>
    <n v="-47.115799999999979"/>
    <n v="7789.7673000000004"/>
    <n v="-2623.9750000000004"/>
  </r>
  <r>
    <x v="175"/>
    <s v=" LifeChem"/>
    <x v="54"/>
    <x v="0"/>
    <x v="1"/>
    <n v="50"/>
    <n v="0.37059999999999998"/>
    <n v="0.24890000000000001"/>
    <n v="0"/>
    <n v="9.2727000000000004"/>
    <n v="7.0415000000000001"/>
    <n v="0"/>
    <x v="116"/>
    <n v="0.12169999999999997"/>
    <n v="7.0415000000000001"/>
    <n v="2.2312000000000003"/>
  </r>
  <r>
    <x v="176"/>
    <s v=" LifeChem"/>
    <x v="54"/>
    <x v="0"/>
    <x v="1"/>
    <n v="60"/>
    <n v="29.4162"/>
    <n v="107.9663"/>
    <n v="52.6723"/>
    <n v="866.39819999999997"/>
    <n v="3176.0981999999999"/>
    <n v="1396.3396"/>
    <x v="117"/>
    <n v="-78.5501"/>
    <n v="1779.7585999999999"/>
    <n v="-2309.6999999999998"/>
  </r>
  <r>
    <x v="177"/>
    <s v=" LifeChem"/>
    <x v="54"/>
    <x v="0"/>
    <x v="1"/>
    <n v="60"/>
    <n v="2.2702"/>
    <n v="6.8476999999999997"/>
    <n v="4.3963000000000001"/>
    <n v="71.277600000000007"/>
    <n v="210.60059999999999"/>
    <n v="121.2728"/>
    <x v="118"/>
    <n v="-4.5774999999999997"/>
    <n v="89.327799999999982"/>
    <n v="-139.32299999999998"/>
  </r>
  <r>
    <x v="178"/>
    <s v=" LifeChem"/>
    <x v="54"/>
    <x v="0"/>
    <x v="1"/>
    <n v="60"/>
    <n v="296.26589999999999"/>
    <n v="290.55259999999998"/>
    <n v="128.1713"/>
    <n v="8749.3634000000002"/>
    <n v="8593.8201000000008"/>
    <n v="3618.6093999999998"/>
    <x v="119"/>
    <n v="5.7133000000000038"/>
    <n v="4975.2107000000015"/>
    <n v="155.54329999999936"/>
  </r>
  <r>
    <x v="179"/>
    <s v=" LifeChem"/>
    <x v="54"/>
    <x v="0"/>
    <x v="1"/>
    <n v="60"/>
    <n v="2.9716999999999998"/>
    <n v="0.47810000000000002"/>
    <n v="0.26490000000000002"/>
    <n v="93.2804"/>
    <n v="14.5885"/>
    <n v="7.5808999999999997"/>
    <x v="120"/>
    <n v="2.4935999999999998"/>
    <n v="7.0076000000000001"/>
    <n v="78.691900000000004"/>
  </r>
  <r>
    <x v="180"/>
    <s v=" LifeChem"/>
    <x v="54"/>
    <x v="0"/>
    <x v="1"/>
    <n v="63"/>
    <n v="0.21840000000000001"/>
    <n v="0"/>
    <n v="0"/>
    <n v="7.3784000000000001"/>
    <n v="0"/>
    <n v="0"/>
    <x v="1"/>
    <n v="0.21840000000000001"/>
    <n v="0"/>
    <n v="7.3784000000000001"/>
  </r>
  <r>
    <x v="181"/>
    <s v=" LifeChem"/>
    <x v="54"/>
    <x v="0"/>
    <x v="0"/>
    <n v="63"/>
    <n v="0.50360000000000005"/>
    <n v="0"/>
    <n v="0"/>
    <n v="14.988200000000001"/>
    <n v="0"/>
    <n v="0"/>
    <x v="1"/>
    <n v="0.50360000000000005"/>
    <n v="0"/>
    <n v="14.988200000000001"/>
  </r>
  <r>
    <x v="182"/>
    <s v=" MountainMedicine"/>
    <x v="55"/>
    <x v="0"/>
    <x v="5"/>
    <n v="20"/>
    <n v="0.17610000000000001"/>
    <n v="1.0699999999999999E-2"/>
    <n v="0"/>
    <n v="3.1602000000000001"/>
    <n v="0.19450000000000001"/>
    <n v="0"/>
    <x v="121"/>
    <n v="0.16540000000000002"/>
    <n v="0.19450000000000001"/>
    <n v="2.9657"/>
  </r>
  <r>
    <x v="183"/>
    <s v=" MountainMedicine"/>
    <x v="55"/>
    <x v="0"/>
    <x v="5"/>
    <n v="20"/>
    <n v="0.50239999999999996"/>
    <n v="6.6451000000000002"/>
    <n v="0"/>
    <n v="10.56"/>
    <n v="115.3312"/>
    <n v="0"/>
    <x v="122"/>
    <n v="-6.1427000000000005"/>
    <n v="115.3312"/>
    <n v="-104.77119999999999"/>
  </r>
  <r>
    <x v="184"/>
    <s v=" MountainMedicine"/>
    <x v="55"/>
    <x v="0"/>
    <x v="5"/>
    <n v="56"/>
    <n v="0.31990000000000002"/>
    <n v="0"/>
    <n v="0"/>
    <n v="7.3638000000000003"/>
    <n v="0"/>
    <n v="0"/>
    <x v="1"/>
    <n v="0.31990000000000002"/>
    <n v="0"/>
    <n v="7.3638000000000003"/>
  </r>
  <r>
    <x v="185"/>
    <s v=" MountainMedicine"/>
    <x v="55"/>
    <x v="0"/>
    <x v="5"/>
    <n v="56"/>
    <n v="3.0116000000000001"/>
    <n v="0"/>
    <n v="0"/>
    <n v="62.468000000000004"/>
    <n v="0"/>
    <n v="0"/>
    <x v="1"/>
    <n v="3.0116000000000001"/>
    <n v="0"/>
    <n v="62.468000000000004"/>
  </r>
  <r>
    <x v="186"/>
    <s v=" Swift GMBH"/>
    <x v="56"/>
    <x v="0"/>
    <x v="1"/>
    <n v="10"/>
    <n v="1.7111000000000001"/>
    <n v="0.48920000000000002"/>
    <n v="7.6600000000000001E-2"/>
    <n v="14.330299999999999"/>
    <n v="3.8454999999999999"/>
    <n v="0.62309999999999999"/>
    <x v="123"/>
    <n v="1.2219"/>
    <n v="3.2223999999999999"/>
    <n v="10.4848"/>
  </r>
  <r>
    <x v="187"/>
    <s v=" Swift GMBH"/>
    <x v="56"/>
    <x v="0"/>
    <x v="3"/>
    <n v="52"/>
    <n v="88.057900000000004"/>
    <n v="26.767399999999999"/>
    <n v="2.3372999999999999"/>
    <n v="2166.7952"/>
    <n v="614.64589999999998"/>
    <n v="48.202599999999997"/>
    <x v="124"/>
    <n v="61.290500000000009"/>
    <n v="566.44330000000002"/>
    <n v="1552.1493"/>
  </r>
  <r>
    <x v="188"/>
    <s v=" Swift GMBH"/>
    <x v="56"/>
    <x v="0"/>
    <x v="0"/>
    <n v="56"/>
    <n v="1.0826"/>
    <n v="0.79220000000000002"/>
    <n v="0"/>
    <n v="19.760000000000002"/>
    <n v="17.024000000000001"/>
    <n v="0"/>
    <x v="125"/>
    <n v="0.29039999999999999"/>
    <n v="17.024000000000001"/>
    <n v="2.7360000000000007"/>
  </r>
  <r>
    <x v="189"/>
    <s v=" Swift GMBH"/>
    <x v="56"/>
    <x v="0"/>
    <x v="1"/>
    <n v="56"/>
    <n v="0.44109999999999999"/>
    <n v="0.41260000000000002"/>
    <n v="4.5600000000000002E-2"/>
    <n v="8.4567999999999994"/>
    <n v="6.601"/>
    <n v="0.72929999999999995"/>
    <x v="126"/>
    <n v="2.849999999999997E-2"/>
    <n v="5.8716999999999997"/>
    <n v="1.8557999999999995"/>
  </r>
  <r>
    <x v="190"/>
    <s v=" Swift GMBH"/>
    <x v="56"/>
    <x v="0"/>
    <x v="3"/>
    <n v="56"/>
    <n v="2.1700000000000001E-2"/>
    <n v="0"/>
    <n v="0"/>
    <n v="0.48470000000000002"/>
    <n v="0"/>
    <n v="0"/>
    <x v="1"/>
    <n v="2.1700000000000001E-2"/>
    <n v="0"/>
    <n v="0.48470000000000002"/>
  </r>
  <r>
    <x v="191"/>
    <s v=" Swift GMBH"/>
    <x v="56"/>
    <x v="0"/>
    <x v="1"/>
    <n v="56"/>
    <n v="1.675"/>
    <n v="2.4634999999999998"/>
    <n v="0.86060000000000003"/>
    <n v="31.331099999999999"/>
    <n v="43.584000000000003"/>
    <n v="15.645899999999999"/>
    <x v="127"/>
    <n v="-0.78849999999999976"/>
    <n v="27.938100000000006"/>
    <n v="-12.252900000000004"/>
  </r>
  <r>
    <x v="192"/>
    <s v=" Swift GMBH"/>
    <x v="56"/>
    <x v="0"/>
    <x v="1"/>
    <n v="56"/>
    <n v="9.3126999999999995"/>
    <n v="6.4108999999999998"/>
    <n v="5.0708000000000002"/>
    <n v="206.11410000000001"/>
    <n v="126.16"/>
    <n v="101.6622"/>
    <x v="128"/>
    <n v="2.9017999999999997"/>
    <n v="24.497799999999998"/>
    <n v="79.954100000000011"/>
  </r>
  <r>
    <x v="193"/>
    <s v=" Swift GMBH"/>
    <x v="56"/>
    <x v="0"/>
    <x v="1"/>
    <n v="56"/>
    <n v="11.1845"/>
    <n v="11.7105"/>
    <n v="3.9420000000000002"/>
    <n v="216.30410000000001"/>
    <n v="238.77709999999999"/>
    <n v="77.523899999999998"/>
    <x v="129"/>
    <n v="-0.5259999999999998"/>
    <n v="161.25319999999999"/>
    <n v="-22.472999999999985"/>
  </r>
  <r>
    <x v="194"/>
    <s v=" InsideGlobal"/>
    <x v="57"/>
    <x v="0"/>
    <x v="4"/>
    <n v="72"/>
    <n v="6.6299999999999998E-2"/>
    <n v="0.12959999999999999"/>
    <n v="7.1499999999999994E-2"/>
    <n v="0.504"/>
    <n v="0.91539999999999999"/>
    <n v="0.52459999999999996"/>
    <x v="130"/>
    <n v="-6.3299999999999995E-2"/>
    <n v="0.39080000000000004"/>
    <n v="-0.41139999999999999"/>
  </r>
  <r>
    <x v="195"/>
    <s v=" CelticWind Ltd"/>
    <x v="58"/>
    <x v="0"/>
    <x v="0"/>
    <n v="10"/>
    <n v="0.61529999999999996"/>
    <n v="0.502"/>
    <n v="4.99E-2"/>
    <n v="4.0616000000000003"/>
    <n v="3.2562000000000002"/>
    <n v="0.25269999999999998"/>
    <x v="131"/>
    <n v="0.11329999999999996"/>
    <n v="3.0035000000000003"/>
    <n v="0.80540000000000012"/>
  </r>
  <r>
    <x v="196"/>
    <s v=" CelticWind Ltd"/>
    <x v="58"/>
    <x v="0"/>
    <x v="0"/>
    <n v="240"/>
    <n v="18.4224"/>
    <n v="21.849599999999999"/>
    <n v="15.9329"/>
    <n v="154.90440000000001"/>
    <n v="191.65379999999999"/>
    <n v="151.1"/>
    <x v="132"/>
    <n v="-3.4271999999999991"/>
    <n v="40.553799999999995"/>
    <n v="-36.74939999999998"/>
  </r>
  <r>
    <x v="197"/>
    <s v=" CelticWind Ltd"/>
    <x v="58"/>
    <x v="0"/>
    <x v="0"/>
    <n v="28"/>
    <n v="1.851"/>
    <n v="2.4146999999999998"/>
    <n v="0.80920000000000003"/>
    <n v="10.083500000000001"/>
    <n v="14.928100000000001"/>
    <n v="5.5830000000000002"/>
    <x v="133"/>
    <n v="-0.56369999999999987"/>
    <n v="9.3451000000000004"/>
    <n v="-4.8445999999999998"/>
  </r>
  <r>
    <x v="198"/>
    <s v=" CelticWind Ltd"/>
    <x v="58"/>
    <x v="0"/>
    <x v="0"/>
    <n v="60"/>
    <n v="198.11109999999999"/>
    <n v="233.6309"/>
    <n v="113.3126"/>
    <n v="1569.5084999999999"/>
    <n v="2030.1902"/>
    <n v="989.67420000000004"/>
    <x v="134"/>
    <n v="-35.519800000000004"/>
    <n v="1040.5160000000001"/>
    <n v="-460.68170000000009"/>
  </r>
  <r>
    <x v="199"/>
    <s v=" CelticWind Ltd"/>
    <x v="58"/>
    <x v="0"/>
    <x v="0"/>
    <n v="60"/>
    <n v="1.278"/>
    <n v="13.6012"/>
    <n v="11.1342"/>
    <n v="10.3644"/>
    <n v="118.5029"/>
    <n v="94.131399999999999"/>
    <x v="135"/>
    <n v="-12.3232"/>
    <n v="24.371499999999997"/>
    <n v="-108.13849999999999"/>
  </r>
  <r>
    <x v="200"/>
    <s v=" JellyHealth"/>
    <x v="59"/>
    <x v="0"/>
    <x v="0"/>
    <n v="56"/>
    <n v="0"/>
    <n v="0.2286"/>
    <n v="8.4099999999999994E-2"/>
    <n v="0"/>
    <n v="3.6671999999999998"/>
    <n v="1.3489"/>
    <x v="1"/>
    <n v="-0.2286"/>
    <n v="2.3182999999999998"/>
    <n v="-3.6671999999999998"/>
  </r>
  <r>
    <x v="201"/>
    <s v=" JellyHealth"/>
    <x v="60"/>
    <x v="0"/>
    <x v="0"/>
    <n v="56"/>
    <n v="0"/>
    <n v="0.22009999999999999"/>
    <n v="0.1012"/>
    <n v="0"/>
    <n v="3.5211000000000001"/>
    <n v="1.6187"/>
    <x v="1"/>
    <n v="-0.22009999999999999"/>
    <n v="1.9024000000000001"/>
    <n v="-3.5211000000000001"/>
  </r>
  <r>
    <x v="202"/>
    <s v=" Thomson &amp; Thomson"/>
    <x v="61"/>
    <x v="0"/>
    <x v="5"/>
    <n v="20"/>
    <n v="0.3851"/>
    <n v="0.10680000000000001"/>
    <n v="0"/>
    <n v="4.9682000000000004"/>
    <n v="1.3105"/>
    <n v="0"/>
    <x v="136"/>
    <n v="0.27829999999999999"/>
    <n v="1.3105"/>
    <n v="3.6577000000000002"/>
  </r>
  <r>
    <x v="203"/>
    <s v=" Thomson &amp; Thomson"/>
    <x v="61"/>
    <x v="0"/>
    <x v="3"/>
    <n v="56"/>
    <n v="1.0960000000000001"/>
    <n v="0.3664"/>
    <n v="5.7799999999999997E-2"/>
    <n v="13.8332"/>
    <n v="3.4159999999999999"/>
    <n v="0.48"/>
    <x v="137"/>
    <n v="0.72960000000000003"/>
    <n v="2.9359999999999999"/>
    <n v="10.417199999999999"/>
  </r>
  <r>
    <x v="204"/>
    <s v=" Thomson &amp; Thomson"/>
    <x v="61"/>
    <x v="0"/>
    <x v="3"/>
    <n v="56"/>
    <n v="8.1957000000000004"/>
    <n v="0.14119999999999999"/>
    <n v="1.1000000000000001E-3"/>
    <n v="213.62710000000001"/>
    <n v="2.6021999999999998"/>
    <n v="1.6E-2"/>
    <x v="138"/>
    <n v="8.0545000000000009"/>
    <n v="2.5861999999999998"/>
    <n v="211.0249"/>
  </r>
  <r>
    <x v="205"/>
    <s v=" Thomson &amp; Thomson"/>
    <x v="61"/>
    <x v="0"/>
    <x v="5"/>
    <n v="56"/>
    <n v="2.8999999999999998E-3"/>
    <n v="0"/>
    <n v="0"/>
    <n v="0.17960000000000001"/>
    <n v="0"/>
    <n v="0"/>
    <x v="1"/>
    <n v="2.8999999999999998E-3"/>
    <n v="0"/>
    <n v="0.17960000000000001"/>
  </r>
  <r>
    <x v="206"/>
    <s v=" Thomson &amp; Thomson"/>
    <x v="61"/>
    <x v="0"/>
    <x v="0"/>
    <n v="56"/>
    <n v="0.22670000000000001"/>
    <n v="0"/>
    <n v="0"/>
    <n v="4.5189000000000004"/>
    <n v="0"/>
    <n v="0"/>
    <x v="1"/>
    <n v="0.22670000000000001"/>
    <n v="0"/>
    <n v="4.5189000000000004"/>
  </r>
  <r>
    <x v="207"/>
    <s v=" Thomson &amp; Thomson"/>
    <x v="61"/>
    <x v="0"/>
    <x v="5"/>
    <n v="72"/>
    <n v="24.499500000000001"/>
    <n v="1.3658999999999999"/>
    <n v="5.9999999999999995E-4"/>
    <n v="789.96360000000004"/>
    <n v="36.531500000000001"/>
    <n v="2.06E-2"/>
    <x v="139"/>
    <n v="23.133600000000001"/>
    <n v="36.510899999999999"/>
    <n v="753.43209999999999"/>
  </r>
  <r>
    <x v="208"/>
    <s v=" Thomson &amp; Thomson"/>
    <x v="61"/>
    <x v="0"/>
    <x v="3"/>
    <n v="72"/>
    <n v="0"/>
    <n v="2.8000000000000001E-2"/>
    <n v="0"/>
    <n v="0"/>
    <n v="0.80640000000000001"/>
    <n v="0"/>
    <x v="1"/>
    <n v="-2.8000000000000001E-2"/>
    <n v="0.80640000000000001"/>
    <n v="-0.80640000000000001"/>
  </r>
  <r>
    <x v="209"/>
    <s v=" KalesCo"/>
    <x v="62"/>
    <x v="0"/>
    <x v="1"/>
    <n v="72"/>
    <n v="0"/>
    <n v="10.2052"/>
    <n v="14.4321"/>
    <n v="0"/>
    <n v="569.2527"/>
    <n v="716.4248"/>
    <x v="1"/>
    <n v="-10.2052"/>
    <n v="-147.1721"/>
    <n v="-569.2527"/>
  </r>
  <r>
    <x v="210"/>
    <s v=" CapPlus"/>
    <x v="63"/>
    <x v="0"/>
    <x v="0"/>
    <n v="15"/>
    <n v="1.1900000000000001E-2"/>
    <n v="0"/>
    <n v="0"/>
    <n v="0.14000000000000001"/>
    <n v="0"/>
    <n v="0"/>
    <x v="1"/>
    <n v="1.1900000000000001E-2"/>
    <n v="0"/>
    <n v="0.14000000000000001"/>
  </r>
  <r>
    <x v="211"/>
    <s v=" BrothersFlyProducts SAN A.S."/>
    <x v="64"/>
    <x v="0"/>
    <x v="1"/>
    <n v="40"/>
    <n v="0"/>
    <n v="0"/>
    <n v="0.69599999999999995"/>
    <n v="0"/>
    <n v="0"/>
    <n v="11.551500000000001"/>
    <x v="1"/>
    <n v="0"/>
    <n v="-11.551500000000001"/>
    <n v="0"/>
  </r>
  <r>
    <x v="212"/>
    <s v=" BrothersFlyProducts SAN A.S."/>
    <x v="64"/>
    <x v="0"/>
    <x v="1"/>
    <n v="90"/>
    <n v="0.33289999999999997"/>
    <n v="2.7199999999999998E-2"/>
    <n v="0.74419999999999997"/>
    <n v="16.585699999999999"/>
    <n v="2.2242999999999999"/>
    <n v="24.0091"/>
    <x v="140"/>
    <n v="0.30569999999999997"/>
    <n v="-21.784800000000001"/>
    <n v="14.3614"/>
  </r>
  <r>
    <x v="213"/>
    <s v=" Snowball Cologne"/>
    <x v="65"/>
    <x v="0"/>
    <x v="1"/>
    <n v="120"/>
    <n v="0"/>
    <n v="3.2099999999999997E-2"/>
    <n v="0.19070000000000001"/>
    <n v="0"/>
    <n v="1.7567999999999999"/>
    <n v="7.8956"/>
    <x v="1"/>
    <n v="-3.2099999999999997E-2"/>
    <n v="-6.1387999999999998"/>
    <n v="-1.7567999999999999"/>
  </r>
  <r>
    <x v="214"/>
    <s v=" Snowball Cologne"/>
    <x v="65"/>
    <x v="0"/>
    <x v="2"/>
    <n v="70"/>
    <n v="0"/>
    <n v="0"/>
    <n v="2.2185000000000001"/>
    <n v="0"/>
    <n v="0"/>
    <n v="128.51750000000001"/>
    <x v="1"/>
    <n v="0"/>
    <n v="-128.51750000000001"/>
    <n v="0"/>
  </r>
  <r>
    <x v="215"/>
    <s v=" Snowball Cologne"/>
    <x v="65"/>
    <x v="0"/>
    <x v="1"/>
    <n v="70"/>
    <n v="0"/>
    <n v="7.0191999999999997"/>
    <n v="7.8216999999999999"/>
    <n v="0"/>
    <n v="471.142"/>
    <n v="503.7824"/>
    <x v="1"/>
    <n v="-7.0191999999999997"/>
    <n v="-32.6404"/>
    <n v="-471.142"/>
  </r>
  <r>
    <x v="216"/>
    <s v=" Snowball Cologne"/>
    <x v="65"/>
    <x v="0"/>
    <x v="1"/>
    <n v="72"/>
    <n v="8.5007999999999999"/>
    <n v="1.8512999999999999"/>
    <n v="0.35020000000000001"/>
    <n v="288.41750000000002"/>
    <n v="66.691299999999998"/>
    <n v="13.4161"/>
    <x v="141"/>
    <n v="6.6494999999999997"/>
    <n v="53.275199999999998"/>
    <n v="221.72620000000001"/>
  </r>
  <r>
    <x v="217"/>
    <s v=" Snowball Cologne"/>
    <x v="65"/>
    <x v="0"/>
    <x v="1"/>
    <n v="72"/>
    <n v="32.951099999999997"/>
    <n v="14.947100000000001"/>
    <n v="4.2103999999999999"/>
    <n v="1259.2874999999999"/>
    <n v="556.85670000000005"/>
    <n v="163.69149999999999"/>
    <x v="142"/>
    <n v="18.003999999999998"/>
    <n v="393.16520000000003"/>
    <n v="702.43079999999986"/>
  </r>
  <r>
    <x v="218"/>
    <s v=" Kimberly Stone"/>
    <x v="66"/>
    <x v="0"/>
    <x v="2"/>
    <n v="56"/>
    <n v="53.822000000000003"/>
    <n v="66.983199999999997"/>
    <n v="42.143000000000001"/>
    <n v="1325.5655999999999"/>
    <n v="1594.76"/>
    <n v="1015.3249"/>
    <x v="143"/>
    <n v="-13.161199999999994"/>
    <n v="579.43510000000003"/>
    <n v="-269.19440000000009"/>
  </r>
  <r>
    <x v="219"/>
    <s v=" Kimberly Stone"/>
    <x v="66"/>
    <x v="0"/>
    <x v="2"/>
    <n v="56"/>
    <n v="81.760300000000001"/>
    <n v="83.135000000000005"/>
    <n v="53.412599999999998"/>
    <n v="1959.0420999999999"/>
    <n v="1973.6881000000001"/>
    <n v="1284.8007"/>
    <x v="144"/>
    <n v="-1.3747000000000043"/>
    <n v="688.88740000000007"/>
    <n v="-14.646000000000186"/>
  </r>
  <r>
    <x v="220"/>
    <s v=" Kimberly Stone"/>
    <x v="66"/>
    <x v="0"/>
    <x v="2"/>
    <n v="56"/>
    <n v="24.3629"/>
    <n v="18.871200000000002"/>
    <n v="0.95489999999999997"/>
    <n v="571.42309999999998"/>
    <n v="430.0342"/>
    <n v="21.356300000000001"/>
    <x v="145"/>
    <n v="5.491699999999998"/>
    <n v="408.67790000000002"/>
    <n v="141.38889999999998"/>
  </r>
  <r>
    <x v="221"/>
    <s v=" Kimberly Stone"/>
    <x v="66"/>
    <x v="0"/>
    <x v="0"/>
    <n v="56"/>
    <n v="6.2572999999999999"/>
    <n v="18.031600000000001"/>
    <n v="4.2451999999999996"/>
    <n v="140.29249999999999"/>
    <n v="398.21929999999998"/>
    <n v="95.220100000000002"/>
    <x v="146"/>
    <n v="-11.7743"/>
    <n v="302.99919999999997"/>
    <n v="-257.92679999999996"/>
  </r>
  <r>
    <x v="222"/>
    <s v=" Kimberly Stone"/>
    <x v="66"/>
    <x v="0"/>
    <x v="1"/>
    <n v="64"/>
    <n v="0"/>
    <n v="0"/>
    <n v="0.16520000000000001"/>
    <n v="0"/>
    <n v="0"/>
    <n v="4.4053000000000004"/>
    <x v="1"/>
    <n v="0"/>
    <n v="-4.4053000000000004"/>
    <n v="0"/>
  </r>
  <r>
    <x v="223"/>
    <s v=" Kimberly Stone"/>
    <x v="66"/>
    <x v="0"/>
    <x v="0"/>
    <n v="64"/>
    <n v="2.9600000000000001E-2"/>
    <n v="0"/>
    <n v="0"/>
    <n v="0.8246"/>
    <n v="0"/>
    <n v="0"/>
    <x v="1"/>
    <n v="2.9600000000000001E-2"/>
    <n v="0"/>
    <n v="0.8246"/>
  </r>
  <r>
    <x v="224"/>
    <s v=" Kimberly Stone"/>
    <x v="66"/>
    <x v="0"/>
    <x v="0"/>
    <n v="72"/>
    <n v="2.3472"/>
    <n v="0.8044"/>
    <n v="0"/>
    <n v="54.641800000000003"/>
    <n v="24.183599999999998"/>
    <n v="0"/>
    <x v="147"/>
    <n v="1.5427999999999999"/>
    <n v="24.183599999999998"/>
    <n v="30.458200000000005"/>
  </r>
  <r>
    <x v="225"/>
    <s v=" OliveTree S.A."/>
    <x v="67"/>
    <x v="0"/>
    <x v="2"/>
    <n v="70"/>
    <n v="5.9740000000000002"/>
    <n v="0"/>
    <n v="0"/>
    <n v="416.80889999999999"/>
    <n v="0"/>
    <n v="0"/>
    <x v="1"/>
    <n v="5.9740000000000002"/>
    <n v="0"/>
    <n v="416.80889999999999"/>
  </r>
  <r>
    <x v="226"/>
    <s v=" OliveTree S.A."/>
    <x v="67"/>
    <x v="0"/>
    <x v="1"/>
    <n v="80"/>
    <n v="0.1293"/>
    <n v="8.2299999999999998E-2"/>
    <n v="0"/>
    <n v="5.4459999999999997"/>
    <n v="3.4649000000000001"/>
    <n v="0"/>
    <x v="148"/>
    <n v="4.7E-2"/>
    <n v="3.4649000000000001"/>
    <n v="1.9810999999999996"/>
  </r>
  <r>
    <x v="227"/>
    <s v=" CosmicChem"/>
    <x v="68"/>
    <x v="0"/>
    <x v="2"/>
    <n v="72"/>
    <n v="11.181699999999999"/>
    <n v="15.1816"/>
    <n v="9.6165000000000003"/>
    <n v="586.38080000000002"/>
    <n v="752.94479999999999"/>
    <n v="438.76389999999998"/>
    <x v="149"/>
    <n v="-3.9999000000000002"/>
    <n v="314.18090000000001"/>
    <n v="-166.56399999999996"/>
  </r>
  <r>
    <x v="228"/>
    <s v=" LabExpand"/>
    <x v="69"/>
    <x v="0"/>
    <x v="4"/>
    <n v="25"/>
    <n v="8.2699999999999996E-2"/>
    <n v="4.5199999999999997E-2"/>
    <n v="5.4999999999999997E-3"/>
    <n v="0.35360000000000003"/>
    <n v="0.2"/>
    <n v="2.5000000000000001E-2"/>
    <x v="150"/>
    <n v="3.7499999999999999E-2"/>
    <n v="0.17500000000000002"/>
    <n v="0.15360000000000001"/>
  </r>
  <r>
    <x v="229"/>
    <s v=" LabExpand"/>
    <x v="69"/>
    <x v="0"/>
    <x v="4"/>
    <n v="25"/>
    <n v="2.0510000000000002"/>
    <n v="2.5941999999999998"/>
    <n v="0.76219999999999999"/>
    <n v="8.6088000000000005"/>
    <n v="11.446400000000001"/>
    <n v="3.6349999999999998"/>
    <x v="151"/>
    <n v="-0.54319999999999968"/>
    <n v="7.8114000000000008"/>
    <n v="-2.8376000000000001"/>
  </r>
  <r>
    <x v="230"/>
    <s v=" LabExpand"/>
    <x v="69"/>
    <x v="0"/>
    <x v="4"/>
    <n v="50"/>
    <n v="10.297499999999999"/>
    <n v="4.8240999999999996"/>
    <n v="4.976"/>
    <n v="49.665700000000001"/>
    <n v="27.7622"/>
    <n v="22.308599999999998"/>
    <x v="152"/>
    <n v="5.4733999999999998"/>
    <n v="5.4536000000000016"/>
    <n v="21.903500000000001"/>
  </r>
  <r>
    <x v="231"/>
    <s v=" LabExpand"/>
    <x v="69"/>
    <x v="0"/>
    <x v="4"/>
    <n v="50"/>
    <n v="0.2089"/>
    <n v="0"/>
    <n v="0"/>
    <n v="1.25"/>
    <n v="0"/>
    <n v="0"/>
    <x v="1"/>
    <n v="0.2089"/>
    <n v="0"/>
    <n v="1.25"/>
  </r>
  <r>
    <x v="232"/>
    <s v=" LabExpand"/>
    <x v="69"/>
    <x v="0"/>
    <x v="0"/>
    <n v="60"/>
    <n v="0"/>
    <n v="0"/>
    <n v="0.18790000000000001"/>
    <n v="0"/>
    <n v="0"/>
    <n v="1.0885"/>
    <x v="1"/>
    <n v="0"/>
    <n v="-1.0885"/>
    <n v="0"/>
  </r>
  <r>
    <x v="233"/>
    <s v=" LabExpand"/>
    <x v="69"/>
    <x v="0"/>
    <x v="0"/>
    <n v="70"/>
    <n v="1.4366000000000001"/>
    <n v="2.8525"/>
    <n v="1.1071"/>
    <n v="10.09"/>
    <n v="20.329999999999998"/>
    <n v="7.64"/>
    <x v="153"/>
    <n v="-1.4158999999999999"/>
    <n v="12.689999999999998"/>
    <n v="-10.239999999999998"/>
  </r>
  <r>
    <x v="234"/>
    <s v=" LabExpand"/>
    <x v="69"/>
    <x v="0"/>
    <x v="4"/>
    <n v="70"/>
    <n v="6.5038999999999998"/>
    <n v="6.5046999999999997"/>
    <n v="1.2238"/>
    <n v="46.08"/>
    <n v="47.101700000000001"/>
    <n v="9.65"/>
    <x v="154"/>
    <n v="-7.9999999999991189E-4"/>
    <n v="37.451700000000002"/>
    <n v="-1.0217000000000027"/>
  </r>
  <r>
    <x v="235"/>
    <s v=" LabExpand"/>
    <x v="69"/>
    <x v="0"/>
    <x v="2"/>
    <n v="70"/>
    <n v="0"/>
    <n v="6.5199999999999994E-2"/>
    <n v="0"/>
    <n v="0"/>
    <n v="0.35370000000000001"/>
    <n v="0"/>
    <x v="1"/>
    <n v="-6.5199999999999994E-2"/>
    <n v="0.35370000000000001"/>
    <n v="-0.35370000000000001"/>
  </r>
  <r>
    <x v="236"/>
    <s v=" LansinLab Inc"/>
    <x v="70"/>
    <x v="0"/>
    <x v="2"/>
    <n v="80"/>
    <n v="7.0000000000000001E-3"/>
    <n v="0"/>
    <n v="0"/>
    <n v="0.08"/>
    <n v="0"/>
    <n v="0"/>
    <x v="1"/>
    <n v="7.0000000000000001E-3"/>
    <n v="0"/>
    <n v="0.08"/>
  </r>
  <r>
    <x v="237"/>
    <s v=" Lara Beauty"/>
    <x v="71"/>
    <x v="0"/>
    <x v="2"/>
    <n v="100"/>
    <n v="0"/>
    <n v="0"/>
    <n v="0.80289999999999995"/>
    <n v="0"/>
    <n v="0"/>
    <n v="36.833599999999997"/>
    <x v="1"/>
    <n v="0"/>
    <n v="-36.833599999999997"/>
    <n v="0"/>
  </r>
  <r>
    <x v="238"/>
    <s v=" Lara Beauty"/>
    <x v="71"/>
    <x v="0"/>
    <x v="1"/>
    <n v="100"/>
    <n v="9.9892000000000003"/>
    <n v="8.1153999999999993"/>
    <n v="3.5836999999999999"/>
    <n v="492.51530000000002"/>
    <n v="366.96510000000001"/>
    <n v="145.6557"/>
    <x v="155"/>
    <n v="1.873800000000001"/>
    <n v="221.30940000000001"/>
    <n v="125.55020000000002"/>
  </r>
  <r>
    <x v="239"/>
    <s v=" Lara Beauty"/>
    <x v="71"/>
    <x v="0"/>
    <x v="2"/>
    <n v="100"/>
    <n v="2.3199999999999998E-2"/>
    <n v="2.375"/>
    <n v="2.0299"/>
    <n v="1.054"/>
    <n v="113.97580000000001"/>
    <n v="89.836200000000005"/>
    <x v="156"/>
    <n v="-2.3517999999999999"/>
    <n v="24.139600000000002"/>
    <n v="-112.9218"/>
  </r>
  <r>
    <x v="240"/>
    <s v=" Lara Beauty"/>
    <x v="71"/>
    <x v="0"/>
    <x v="1"/>
    <n v="100"/>
    <n v="12.8912"/>
    <n v="14.945399999999999"/>
    <n v="2.4279000000000002"/>
    <n v="607.44449999999995"/>
    <n v="678.69550000000004"/>
    <n v="103.8368"/>
    <x v="157"/>
    <n v="-2.0541999999999998"/>
    <n v="574.8587"/>
    <n v="-71.25100000000009"/>
  </r>
  <r>
    <x v="241"/>
    <s v=" Lara Beauty"/>
    <x v="71"/>
    <x v="0"/>
    <x v="0"/>
    <n v="100"/>
    <n v="0"/>
    <n v="0.01"/>
    <n v="1.5183"/>
    <n v="0"/>
    <n v="0.48130000000000001"/>
    <n v="68.4452"/>
    <x v="1"/>
    <n v="-0.01"/>
    <n v="-67.963899999999995"/>
    <n v="-0.48130000000000001"/>
  </r>
  <r>
    <x v="242"/>
    <s v=" Lara Beauty"/>
    <x v="71"/>
    <x v="0"/>
    <x v="2"/>
    <n v="100"/>
    <n v="32.355400000000003"/>
    <n v="38.555399999999999"/>
    <n v="28.667999999999999"/>
    <n v="1339.7692"/>
    <n v="1517.8848"/>
    <n v="1147.3356000000001"/>
    <x v="158"/>
    <n v="-6.1999999999999957"/>
    <n v="370.54919999999993"/>
    <n v="-178.11560000000009"/>
  </r>
  <r>
    <x v="243"/>
    <s v=" Lara Beauty"/>
    <x v="71"/>
    <x v="0"/>
    <x v="1"/>
    <n v="120"/>
    <n v="39.0503"/>
    <n v="53.6008"/>
    <n v="45.671900000000001"/>
    <n v="2028.7261000000001"/>
    <n v="2727.4971999999998"/>
    <n v="2409.5587999999998"/>
    <x v="159"/>
    <n v="-14.5505"/>
    <n v="317.9384"/>
    <n v="-698.77109999999971"/>
  </r>
  <r>
    <x v="244"/>
    <s v=" Lara Beauty"/>
    <x v="71"/>
    <x v="0"/>
    <x v="2"/>
    <n v="120"/>
    <n v="18.061"/>
    <n v="20.3689"/>
    <n v="25.3782"/>
    <n v="997.27200000000005"/>
    <n v="1129.9784999999999"/>
    <n v="1401.0871999999999"/>
    <x v="160"/>
    <n v="-2.3079000000000001"/>
    <n v="-271.1087"/>
    <n v="-132.70649999999989"/>
  </r>
  <r>
    <x v="245"/>
    <s v=" Lara Beauty"/>
    <x v="71"/>
    <x v="0"/>
    <x v="1"/>
    <n v="120"/>
    <n v="60.256900000000002"/>
    <n v="59.171300000000002"/>
    <n v="46.391500000000001"/>
    <n v="3003.9076"/>
    <n v="2862.6754999999998"/>
    <n v="2309.9086000000002"/>
    <x v="161"/>
    <n v="1.0855999999999995"/>
    <n v="552.76689999999962"/>
    <n v="141.23210000000017"/>
  </r>
  <r>
    <x v="246"/>
    <s v=" Lara Beauty"/>
    <x v="71"/>
    <x v="0"/>
    <x v="1"/>
    <n v="120"/>
    <n v="20.0168"/>
    <n v="19.4117"/>
    <n v="16.676400000000001"/>
    <n v="1086.6414"/>
    <n v="1089.1328000000001"/>
    <n v="913.75469999999996"/>
    <x v="162"/>
    <n v="0.60510000000000019"/>
    <n v="175.37810000000013"/>
    <n v="-2.4914000000001124"/>
  </r>
  <r>
    <x v="247"/>
    <s v=" Lara Beauty"/>
    <x v="71"/>
    <x v="0"/>
    <x v="1"/>
    <n v="120"/>
    <n v="15.4658"/>
    <n v="23.898299999999999"/>
    <n v="20.8841"/>
    <n v="835.59469999999999"/>
    <n v="1304.8905999999999"/>
    <n v="1122.8086000000001"/>
    <x v="163"/>
    <n v="-8.4324999999999992"/>
    <n v="182.08199999999988"/>
    <n v="-469.29589999999996"/>
  </r>
  <r>
    <x v="248"/>
    <s v=" Lara Beauty"/>
    <x v="71"/>
    <x v="0"/>
    <x v="0"/>
    <n v="120"/>
    <n v="17.192699999999999"/>
    <n v="14.837400000000001"/>
    <n v="10.0755"/>
    <n v="845.18690000000004"/>
    <n v="818.97209999999995"/>
    <n v="554.23329999999999"/>
    <x v="164"/>
    <n v="2.355299999999998"/>
    <n v="264.73879999999997"/>
    <n v="26.214800000000082"/>
  </r>
  <r>
    <x v="249"/>
    <s v=" Lara Beauty"/>
    <x v="71"/>
    <x v="0"/>
    <x v="2"/>
    <n v="120"/>
    <n v="12.4558"/>
    <n v="19.5045"/>
    <n v="19.680399999999999"/>
    <n v="695.70420000000001"/>
    <n v="1080.8305"/>
    <n v="1068.2409"/>
    <x v="165"/>
    <n v="-7.0487000000000002"/>
    <n v="12.589600000000019"/>
    <n v="-385.12630000000001"/>
  </r>
  <r>
    <x v="250"/>
    <s v=" Lara Beauty"/>
    <x v="71"/>
    <x v="0"/>
    <x v="2"/>
    <n v="120"/>
    <n v="29.7578"/>
    <n v="42.059199999999997"/>
    <n v="37.9373"/>
    <n v="1513.1635000000001"/>
    <n v="2139.8314999999998"/>
    <n v="1997.7666999999999"/>
    <x v="166"/>
    <n v="-12.301399999999997"/>
    <n v="142.06479999999988"/>
    <n v="-626.66799999999967"/>
  </r>
  <r>
    <x v="251"/>
    <s v=" Lara Beauty"/>
    <x v="71"/>
    <x v="0"/>
    <x v="1"/>
    <n v="20"/>
    <n v="12.4033"/>
    <n v="7.0781999999999998"/>
    <n v="1.7199"/>
    <n v="294.48759999999999"/>
    <n v="150.97989999999999"/>
    <n v="36.068199999999997"/>
    <x v="167"/>
    <n v="5.3250999999999999"/>
    <n v="114.9117"/>
    <n v="143.5077"/>
  </r>
  <r>
    <x v="252"/>
    <s v=" Lara Beauty"/>
    <x v="71"/>
    <x v="0"/>
    <x v="2"/>
    <n v="40"/>
    <n v="1.6268"/>
    <n v="0"/>
    <n v="0"/>
    <n v="65.1297"/>
    <n v="0"/>
    <n v="0"/>
    <x v="1"/>
    <n v="1.6268"/>
    <n v="0"/>
    <n v="65.1297"/>
  </r>
  <r>
    <x v="253"/>
    <s v=" Lara Beauty"/>
    <x v="71"/>
    <x v="0"/>
    <x v="2"/>
    <n v="40"/>
    <n v="2.5358999999999998"/>
    <n v="0"/>
    <n v="0"/>
    <n v="101.7274"/>
    <n v="0"/>
    <n v="0"/>
    <x v="1"/>
    <n v="2.5358999999999998"/>
    <n v="0"/>
    <n v="101.7274"/>
  </r>
  <r>
    <x v="254"/>
    <s v=" Lara Beauty"/>
    <x v="71"/>
    <x v="0"/>
    <x v="0"/>
    <n v="60"/>
    <n v="0"/>
    <n v="0"/>
    <n v="3.6318999999999999"/>
    <n v="0"/>
    <n v="0"/>
    <n v="71.160700000000006"/>
    <x v="1"/>
    <n v="0"/>
    <n v="-71.160700000000006"/>
    <n v="0"/>
  </r>
  <r>
    <x v="255"/>
    <s v=" Lara Beauty"/>
    <x v="71"/>
    <x v="0"/>
    <x v="0"/>
    <n v="72"/>
    <n v="17.9986"/>
    <n v="13.0489"/>
    <n v="10.643000000000001"/>
    <n v="650.62580000000003"/>
    <n v="424.79559999999998"/>
    <n v="323.3997"/>
    <x v="168"/>
    <n v="4.9497"/>
    <n v="101.39589999999998"/>
    <n v="225.83020000000005"/>
  </r>
  <r>
    <x v="256"/>
    <s v=" Lara Beauty"/>
    <x v="71"/>
    <x v="0"/>
    <x v="3"/>
    <n v="72"/>
    <n v="18.099399999999999"/>
    <n v="12.3561"/>
    <n v="12.3432"/>
    <n v="1018.4675999999999"/>
    <n v="683.55870000000004"/>
    <n v="606.59050000000002"/>
    <x v="169"/>
    <n v="5.7432999999999996"/>
    <n v="76.968200000000024"/>
    <n v="334.9088999999999"/>
  </r>
  <r>
    <x v="257"/>
    <s v=" Lara Beauty"/>
    <x v="71"/>
    <x v="0"/>
    <x v="0"/>
    <n v="72"/>
    <n v="13.9643"/>
    <n v="11.9328"/>
    <n v="7.4202000000000004"/>
    <n v="510.25119999999998"/>
    <n v="382.31479999999999"/>
    <n v="215.15559999999999"/>
    <x v="170"/>
    <n v="2.0314999999999994"/>
    <n v="167.1592"/>
    <n v="127.93639999999999"/>
  </r>
  <r>
    <x v="258"/>
    <s v=" Lara Beauty"/>
    <x v="71"/>
    <x v="0"/>
    <x v="1"/>
    <n v="72"/>
    <n v="0"/>
    <n v="0.56559999999999999"/>
    <n v="0.19719999999999999"/>
    <n v="0"/>
    <n v="6.4855"/>
    <n v="8.6998999999999995"/>
    <x v="1"/>
    <n v="-0.56559999999999999"/>
    <n v="-2.2143999999999995"/>
    <n v="-6.4855"/>
  </r>
  <r>
    <x v="259"/>
    <s v=" Lara Beauty"/>
    <x v="71"/>
    <x v="0"/>
    <x v="1"/>
    <n v="72"/>
    <n v="11.936500000000001"/>
    <n v="11.3424"/>
    <n v="2.8279999999999998"/>
    <n v="494.98500000000001"/>
    <n v="456.52679999999998"/>
    <n v="127.90179999999999"/>
    <x v="171"/>
    <n v="0.59410000000000096"/>
    <n v="328.625"/>
    <n v="38.458200000000033"/>
  </r>
  <r>
    <x v="260"/>
    <s v=" Lara Beauty"/>
    <x v="71"/>
    <x v="0"/>
    <x v="2"/>
    <n v="72"/>
    <n v="16.799600000000002"/>
    <n v="11.79"/>
    <n v="3.1292"/>
    <n v="633.09360000000004"/>
    <n v="491.60489999999999"/>
    <n v="123.1259"/>
    <x v="172"/>
    <n v="5.0096000000000025"/>
    <n v="368.47899999999998"/>
    <n v="141.48870000000005"/>
  </r>
  <r>
    <x v="261"/>
    <s v=" Lara Beauty"/>
    <x v="71"/>
    <x v="0"/>
    <x v="1"/>
    <n v="72"/>
    <n v="15.0557"/>
    <n v="9.7439"/>
    <n v="7.3936000000000002"/>
    <n v="945.80409999999995"/>
    <n v="583.28309999999999"/>
    <n v="424.78879999999998"/>
    <x v="173"/>
    <n v="5.3117999999999999"/>
    <n v="158.49430000000001"/>
    <n v="362.52099999999996"/>
  </r>
  <r>
    <x v="262"/>
    <s v=" Lara Beauty"/>
    <x v="71"/>
    <x v="0"/>
    <x v="1"/>
    <n v="72"/>
    <n v="2.5228000000000002"/>
    <n v="0"/>
    <n v="0"/>
    <n v="102.04300000000001"/>
    <n v="0"/>
    <n v="0"/>
    <x v="1"/>
    <n v="2.5228000000000002"/>
    <n v="0"/>
    <n v="102.04300000000001"/>
  </r>
  <r>
    <x v="263"/>
    <s v=" Lara Beauty"/>
    <x v="71"/>
    <x v="0"/>
    <x v="2"/>
    <n v="80"/>
    <n v="5.8501000000000003"/>
    <n v="3.1604999999999999"/>
    <n v="1.1102000000000001"/>
    <n v="279.7971"/>
    <n v="133.69110000000001"/>
    <n v="49.716799999999999"/>
    <x v="174"/>
    <n v="2.6896000000000004"/>
    <n v="83.974299999999999"/>
    <n v="146.10599999999999"/>
  </r>
  <r>
    <x v="264"/>
    <s v=" Lara Beauty"/>
    <x v="71"/>
    <x v="0"/>
    <x v="0"/>
    <n v="80"/>
    <n v="3.5649999999999999"/>
    <n v="3.9624000000000001"/>
    <n v="3.0468999999999999"/>
    <n v="186.07509999999999"/>
    <n v="188.92570000000001"/>
    <n v="146.31370000000001"/>
    <x v="175"/>
    <n v="-0.3974000000000002"/>
    <n v="42.611999999999995"/>
    <n v="-2.8506000000000142"/>
  </r>
  <r>
    <x v="265"/>
    <s v=" Lara Beauty"/>
    <x v="71"/>
    <x v="0"/>
    <x v="2"/>
    <n v="80"/>
    <n v="4.5880999999999998"/>
    <n v="5.0932000000000004"/>
    <n v="5.0259"/>
    <n v="237.0685"/>
    <n v="259.80410000000001"/>
    <n v="248.8639"/>
    <x v="176"/>
    <n v="-0.50510000000000055"/>
    <n v="10.940200000000004"/>
    <n v="-22.735600000000005"/>
  </r>
  <r>
    <x v="266"/>
    <s v=" Lara Beauty"/>
    <x v="71"/>
    <x v="0"/>
    <x v="0"/>
    <n v="96"/>
    <n v="0"/>
    <n v="7.0000000000000001E-3"/>
    <n v="0"/>
    <n v="0"/>
    <n v="0.32779999999999998"/>
    <n v="0"/>
    <x v="1"/>
    <n v="-7.0000000000000001E-3"/>
    <n v="0.32779999999999998"/>
    <n v="-0.32779999999999998"/>
  </r>
  <r>
    <x v="267"/>
    <s v=" Lara Beauty"/>
    <x v="72"/>
    <x v="0"/>
    <x v="1"/>
    <n v="120"/>
    <n v="3.0200000000000001E-2"/>
    <n v="2.0104000000000002"/>
    <n v="1.0045999999999999"/>
    <n v="1.4571000000000001"/>
    <n v="118.0438"/>
    <n v="56.873399999999997"/>
    <x v="177"/>
    <n v="-1.9802000000000002"/>
    <n v="61.170400000000008"/>
    <n v="-116.58670000000001"/>
  </r>
  <r>
    <x v="268"/>
    <s v=" Lara Beauty"/>
    <x v="73"/>
    <x v="0"/>
    <x v="0"/>
    <n v="72"/>
    <n v="0.1913"/>
    <n v="0.55200000000000005"/>
    <n v="4.3700000000000003E-2"/>
    <n v="6.9211999999999998"/>
    <n v="19.9695"/>
    <n v="1.2094"/>
    <x v="178"/>
    <n v="-0.36070000000000002"/>
    <n v="18.760100000000001"/>
    <n v="-13.048300000000001"/>
  </r>
  <r>
    <x v="269"/>
    <s v=" LeaderHealthFood"/>
    <x v="74"/>
    <x v="0"/>
    <x v="1"/>
    <n v="40"/>
    <n v="2.6700000000000002E-2"/>
    <n v="6.6E-3"/>
    <n v="0"/>
    <n v="1.3361000000000001"/>
    <n v="0.32919999999999999"/>
    <n v="0"/>
    <x v="179"/>
    <n v="2.01E-2"/>
    <n v="0.32919999999999999"/>
    <n v="1.0069000000000001"/>
  </r>
  <r>
    <x v="270"/>
    <s v=" LeaderHealthFood"/>
    <x v="74"/>
    <x v="0"/>
    <x v="3"/>
    <n v="90"/>
    <n v="6.93E-2"/>
    <n v="0.19889999999999999"/>
    <n v="0"/>
    <n v="3.0247000000000002"/>
    <n v="8.6912000000000003"/>
    <n v="0"/>
    <x v="180"/>
    <n v="-0.12959999999999999"/>
    <n v="8.6912000000000003"/>
    <n v="-5.6665000000000001"/>
  </r>
  <r>
    <x v="271"/>
    <s v=" LeaderHealthFood"/>
    <x v="74"/>
    <x v="0"/>
    <x v="3"/>
    <n v="90"/>
    <n v="7.6300000000000007E-2"/>
    <n v="0.42759999999999998"/>
    <n v="0.15670000000000001"/>
    <n v="3.4260000000000002"/>
    <n v="18.685099999999998"/>
    <n v="6.8449999999999998"/>
    <x v="181"/>
    <n v="-0.35129999999999995"/>
    <n v="11.8401"/>
    <n v="-15.259099999999998"/>
  </r>
  <r>
    <x v="272"/>
    <s v=" GlobalMap"/>
    <x v="75"/>
    <x v="0"/>
    <x v="0"/>
    <n v="64"/>
    <n v="13.539"/>
    <n v="14.939299999999999"/>
    <n v="5.9192"/>
    <n v="399.25150000000002"/>
    <n v="471.38619999999997"/>
    <n v="172.6644"/>
    <x v="182"/>
    <n v="-1.4002999999999997"/>
    <n v="298.72179999999997"/>
    <n v="-72.134699999999953"/>
  </r>
  <r>
    <x v="273"/>
    <s v=" GlobalMap"/>
    <x v="75"/>
    <x v="0"/>
    <x v="0"/>
    <n v="64"/>
    <n v="9.7232000000000003"/>
    <n v="14.417199999999999"/>
    <n v="5.9874999999999998"/>
    <n v="300.88780000000003"/>
    <n v="488.67129999999997"/>
    <n v="199.4579"/>
    <x v="183"/>
    <n v="-4.6939999999999991"/>
    <n v="289.21339999999998"/>
    <n v="-187.78349999999995"/>
  </r>
  <r>
    <x v="274"/>
    <s v=" GlobalMap"/>
    <x v="75"/>
    <x v="0"/>
    <x v="1"/>
    <n v="72"/>
    <n v="0.4834"/>
    <n v="0"/>
    <n v="0"/>
    <n v="12.901899999999999"/>
    <n v="0"/>
    <n v="0"/>
    <x v="1"/>
    <n v="0.4834"/>
    <n v="0"/>
    <n v="12.901899999999999"/>
  </r>
  <r>
    <x v="275"/>
    <s v=" PrimeBrands Marketing B.V."/>
    <x v="76"/>
    <x v="0"/>
    <x v="3"/>
    <n v="60"/>
    <n v="0.13550000000000001"/>
    <n v="0"/>
    <n v="0"/>
    <n v="3.2519"/>
    <n v="0"/>
    <n v="0"/>
    <x v="1"/>
    <n v="0.13550000000000001"/>
    <n v="0"/>
    <n v="3.2519"/>
  </r>
  <r>
    <x v="276"/>
    <s v=" Giga S.A."/>
    <x v="77"/>
    <x v="0"/>
    <x v="5"/>
    <n v="12"/>
    <n v="0"/>
    <n v="2.3E-3"/>
    <n v="0"/>
    <n v="0"/>
    <n v="4.8000000000000001E-2"/>
    <n v="0"/>
    <x v="1"/>
    <n v="-2.3E-3"/>
    <n v="4.8000000000000001E-2"/>
    <n v="-4.8000000000000001E-2"/>
  </r>
  <r>
    <x v="277"/>
    <s v=" Giga S.A."/>
    <x v="77"/>
    <x v="0"/>
    <x v="5"/>
    <n v="12"/>
    <n v="3.7978999999999998"/>
    <n v="0.23119999999999999"/>
    <n v="5.57E-2"/>
    <n v="45.909399999999998"/>
    <n v="3.0430999999999999"/>
    <n v="0.74270000000000003"/>
    <x v="184"/>
    <n v="3.5667"/>
    <n v="2.3003999999999998"/>
    <n v="42.866299999999995"/>
  </r>
  <r>
    <x v="278"/>
    <s v=" Giga S.A."/>
    <x v="77"/>
    <x v="0"/>
    <x v="5"/>
    <n v="12"/>
    <n v="10.1713"/>
    <n v="1.4034"/>
    <n v="0.79169999999999996"/>
    <n v="191.46350000000001"/>
    <n v="25.065200000000001"/>
    <n v="12.493499999999999"/>
    <x v="185"/>
    <n v="8.7679000000000009"/>
    <n v="12.571700000000002"/>
    <n v="166.39830000000001"/>
  </r>
  <r>
    <x v="279"/>
    <s v=" Giga S.A."/>
    <x v="77"/>
    <x v="0"/>
    <x v="5"/>
    <n v="20"/>
    <n v="8.9099999999999999E-2"/>
    <n v="0"/>
    <n v="0"/>
    <n v="1.4943"/>
    <n v="0"/>
    <n v="0"/>
    <x v="1"/>
    <n v="8.9099999999999999E-2"/>
    <n v="0"/>
    <n v="1.4943"/>
  </r>
  <r>
    <x v="280"/>
    <s v=" Giga S.A."/>
    <x v="77"/>
    <x v="0"/>
    <x v="0"/>
    <n v="63"/>
    <n v="16.7622"/>
    <n v="54.880099999999999"/>
    <n v="30.8141"/>
    <n v="558.82709999999997"/>
    <n v="1712.2448999999999"/>
    <n v="842.72770000000003"/>
    <x v="186"/>
    <n v="-38.117899999999999"/>
    <n v="869.51719999999989"/>
    <n v="-1153.4177999999999"/>
  </r>
  <r>
    <x v="281"/>
    <s v=" Giga S.A."/>
    <x v="77"/>
    <x v="0"/>
    <x v="0"/>
    <n v="63"/>
    <n v="61.024299999999997"/>
    <n v="69.369399999999999"/>
    <n v="37.2607"/>
    <n v="1986.0632000000001"/>
    <n v="2074.7809000000002"/>
    <n v="1026.0545999999999"/>
    <x v="187"/>
    <n v="-8.3451000000000022"/>
    <n v="1048.7263000000003"/>
    <n v="-88.71770000000015"/>
  </r>
  <r>
    <x v="282"/>
    <s v=" Giga S.A."/>
    <x v="77"/>
    <x v="0"/>
    <x v="3"/>
    <n v="63"/>
    <n v="99.720299999999995"/>
    <n v="82.962900000000005"/>
    <n v="1.6460999999999999"/>
    <n v="3124.0421999999999"/>
    <n v="2460.6639"/>
    <n v="45.897799999999997"/>
    <x v="188"/>
    <n v="16.75739999999999"/>
    <n v="2414.7660999999998"/>
    <n v="663.37829999999985"/>
  </r>
  <r>
    <x v="283"/>
    <s v=" Giga S.A."/>
    <x v="77"/>
    <x v="0"/>
    <x v="0"/>
    <n v="72"/>
    <n v="86.361699999999999"/>
    <n v="101.56570000000001"/>
    <n v="54.776899999999998"/>
    <n v="3022.1621"/>
    <n v="3499.3182999999999"/>
    <n v="1704.9738"/>
    <x v="189"/>
    <n v="-15.204000000000008"/>
    <n v="1794.3444999999999"/>
    <n v="-477.1561999999999"/>
  </r>
  <r>
    <x v="284"/>
    <s v=" Giga S.A."/>
    <x v="78"/>
    <x v="0"/>
    <x v="3"/>
    <n v="54"/>
    <n v="23.7104"/>
    <n v="2.5188000000000001"/>
    <n v="0.15770000000000001"/>
    <n v="549.04570000000001"/>
    <n v="49.080599999999997"/>
    <n v="2.9064000000000001"/>
    <x v="190"/>
    <n v="21.191600000000001"/>
    <n v="46.174199999999999"/>
    <n v="499.96510000000001"/>
  </r>
  <r>
    <x v="285"/>
    <s v=" Giga S.A."/>
    <x v="78"/>
    <x v="0"/>
    <x v="3"/>
    <n v="54"/>
    <n v="34.488300000000002"/>
    <n v="5.6889000000000003"/>
    <n v="0.2626"/>
    <n v="739.96220000000005"/>
    <n v="104.66840000000001"/>
    <n v="4.7222"/>
    <x v="57"/>
    <n v="28.799400000000002"/>
    <n v="99.946200000000005"/>
    <n v="635.29380000000003"/>
  </r>
  <r>
    <x v="286"/>
    <s v=" Giga S.A."/>
    <x v="78"/>
    <x v="0"/>
    <x v="3"/>
    <n v="54"/>
    <n v="0.31869999999999998"/>
    <n v="0"/>
    <n v="0"/>
    <n v="6.5327000000000002"/>
    <n v="0"/>
    <n v="0"/>
    <x v="1"/>
    <n v="0.31869999999999998"/>
    <n v="0"/>
    <n v="6.5327000000000002"/>
  </r>
  <r>
    <x v="287"/>
    <s v=" Giga S.A."/>
    <x v="78"/>
    <x v="0"/>
    <x v="3"/>
    <n v="54"/>
    <n v="7.1499999999999994E-2"/>
    <n v="0"/>
    <n v="0"/>
    <n v="1.2682"/>
    <n v="0"/>
    <n v="0"/>
    <x v="1"/>
    <n v="7.1499999999999994E-2"/>
    <n v="0"/>
    <n v="1.2682"/>
  </r>
  <r>
    <x v="288"/>
    <s v=" MontraWorld"/>
    <x v="79"/>
    <x v="0"/>
    <x v="4"/>
    <n v="72"/>
    <n v="0"/>
    <n v="6.2138"/>
    <n v="8.77E-2"/>
    <n v="0"/>
    <n v="384.83499999999998"/>
    <n v="5.7408999999999999"/>
    <x v="1"/>
    <n v="-6.2138"/>
    <n v="379.09409999999997"/>
    <n v="-384.83499999999998"/>
  </r>
  <r>
    <x v="289"/>
    <s v=" Moratex Group / Tobi MegaGroup LTD"/>
    <x v="80"/>
    <x v="0"/>
    <x v="3"/>
    <n v="100"/>
    <n v="2.8529"/>
    <n v="0"/>
    <n v="0"/>
    <n v="195.97380000000001"/>
    <n v="0"/>
    <n v="0"/>
    <x v="1"/>
    <n v="2.8529"/>
    <n v="0"/>
    <n v="195.97380000000001"/>
  </r>
  <r>
    <x v="290"/>
    <s v=" Moratex Group / Tobi MegaGroup LTD"/>
    <x v="80"/>
    <x v="0"/>
    <x v="3"/>
    <n v="100"/>
    <n v="13.515499999999999"/>
    <n v="1.9742999999999999"/>
    <n v="2.98E-2"/>
    <n v="813.32730000000004"/>
    <n v="103.7679"/>
    <n v="1.4246000000000001"/>
    <x v="191"/>
    <n v="11.5412"/>
    <n v="102.3433"/>
    <n v="709.5594000000001"/>
  </r>
  <r>
    <x v="291"/>
    <s v=" Moratex Group / Tobi MegaGroup LTD"/>
    <x v="80"/>
    <x v="0"/>
    <x v="3"/>
    <n v="120"/>
    <n v="0"/>
    <n v="47.540100000000002"/>
    <n v="13.0617"/>
    <n v="0"/>
    <n v="2356.4949999999999"/>
    <n v="720.12469999999996"/>
    <x v="1"/>
    <n v="-47.540100000000002"/>
    <n v="1636.3703"/>
    <n v="-2356.4949999999999"/>
  </r>
  <r>
    <x v="292"/>
    <s v=" Moratex Group / Tobi MegaGroup LTD"/>
    <x v="80"/>
    <x v="0"/>
    <x v="3"/>
    <n v="70"/>
    <n v="4.0548000000000002"/>
    <n v="2.4268999999999998"/>
    <n v="0"/>
    <n v="220.69159999999999"/>
    <n v="134.58930000000001"/>
    <n v="0"/>
    <x v="192"/>
    <n v="1.6279000000000003"/>
    <n v="134.58930000000001"/>
    <n v="86.102299999999985"/>
  </r>
  <r>
    <x v="293"/>
    <s v=" Moratex Group / Tobi MegaGroup LTD"/>
    <x v="81"/>
    <x v="0"/>
    <x v="1"/>
    <n v="70"/>
    <n v="42.300199999999997"/>
    <n v="20.829499999999999"/>
    <n v="4.8948"/>
    <n v="2912.5239999999999"/>
    <n v="1143.2672"/>
    <n v="245.0727"/>
    <x v="193"/>
    <n v="21.470699999999997"/>
    <n v="898.19450000000006"/>
    <n v="1769.2567999999999"/>
  </r>
  <r>
    <x v="294"/>
    <s v=" MoreBeauty"/>
    <x v="82"/>
    <x v="0"/>
    <x v="1"/>
    <n v="120"/>
    <n v="12.6196"/>
    <n v="0.30170000000000002"/>
    <n v="0"/>
    <n v="774.8818"/>
    <n v="18.222799999999999"/>
    <n v="0"/>
    <x v="194"/>
    <n v="12.3179"/>
    <n v="18.222799999999999"/>
    <n v="756.65899999999999"/>
  </r>
  <r>
    <x v="295"/>
    <s v=" MoreBeauty"/>
    <x v="83"/>
    <x v="0"/>
    <x v="2"/>
    <n v="120"/>
    <n v="0"/>
    <n v="39.128300000000003"/>
    <n v="18.019200000000001"/>
    <n v="0"/>
    <n v="2116.4569999999999"/>
    <n v="1056.0386000000001"/>
    <x v="1"/>
    <n v="-39.128300000000003"/>
    <n v="1060.4183999999998"/>
    <n v="-2116.4569999999999"/>
  </r>
  <r>
    <x v="296"/>
    <s v=" MoreBeauty"/>
    <x v="83"/>
    <x v="0"/>
    <x v="2"/>
    <n v="72"/>
    <n v="14.5854"/>
    <n v="45.532299999999999"/>
    <n v="49.915700000000001"/>
    <n v="930.23509999999999"/>
    <n v="2490.5082000000002"/>
    <n v="2411.3348000000001"/>
    <x v="195"/>
    <n v="-30.946899999999999"/>
    <n v="79.173400000000129"/>
    <n v="-1560.2731000000003"/>
  </r>
  <r>
    <x v="297"/>
    <s v=" NaturalCo AB"/>
    <x v="84"/>
    <x v="0"/>
    <x v="3"/>
    <n v="56"/>
    <n v="0.1139"/>
    <n v="4.0300000000000002E-2"/>
    <n v="0"/>
    <n v="0.85599999999999998"/>
    <n v="0.30399999999999999"/>
    <n v="0"/>
    <x v="196"/>
    <n v="7.3599999999999999E-2"/>
    <n v="0.30399999999999999"/>
    <n v="0.55200000000000005"/>
  </r>
  <r>
    <x v="298"/>
    <s v=" NaturalCo AB"/>
    <x v="84"/>
    <x v="0"/>
    <x v="3"/>
    <n v="56"/>
    <n v="0.19919999999999999"/>
    <n v="0"/>
    <n v="0"/>
    <n v="1.496"/>
    <n v="0"/>
    <n v="0"/>
    <x v="1"/>
    <n v="0.19919999999999999"/>
    <n v="0"/>
    <n v="1.496"/>
  </r>
  <r>
    <x v="299"/>
    <s v=" Voyage Turkey"/>
    <x v="85"/>
    <x v="0"/>
    <x v="2"/>
    <n v="100"/>
    <n v="4.4461000000000004"/>
    <n v="2.0626000000000002"/>
    <n v="0"/>
    <n v="234.7319"/>
    <n v="137.5095"/>
    <n v="0"/>
    <x v="197"/>
    <n v="2.3835000000000002"/>
    <n v="137.5095"/>
    <n v="97.222399999999993"/>
  </r>
  <r>
    <x v="300"/>
    <s v=" Voyage Turkey"/>
    <x v="85"/>
    <x v="0"/>
    <x v="1"/>
    <n v="15"/>
    <n v="0.15609999999999999"/>
    <n v="2.98E-2"/>
    <n v="0.25540000000000002"/>
    <n v="9.3703000000000003"/>
    <n v="1.4905999999999999"/>
    <n v="12.7729"/>
    <x v="198"/>
    <n v="0.1263"/>
    <n v="-11.282299999999999"/>
    <n v="7.8797000000000006"/>
  </r>
  <r>
    <x v="301"/>
    <s v=" Voyage Turkey"/>
    <x v="85"/>
    <x v="0"/>
    <x v="0"/>
    <n v="60"/>
    <n v="1.8445"/>
    <n v="0"/>
    <n v="0"/>
    <n v="41.871899999999997"/>
    <n v="0"/>
    <n v="0"/>
    <x v="1"/>
    <n v="1.8445"/>
    <n v="0"/>
    <n v="41.871899999999997"/>
  </r>
  <r>
    <x v="302"/>
    <s v=" Voyage Turkey"/>
    <x v="85"/>
    <x v="0"/>
    <x v="1"/>
    <n v="72"/>
    <n v="0.57199999999999995"/>
    <n v="0"/>
    <n v="0"/>
    <n v="34.318100000000001"/>
    <n v="0"/>
    <n v="0"/>
    <x v="1"/>
    <n v="0.57199999999999995"/>
    <n v="0"/>
    <n v="34.318100000000001"/>
  </r>
  <r>
    <x v="303"/>
    <s v=" Voyage Turkey"/>
    <x v="85"/>
    <x v="0"/>
    <x v="1"/>
    <n v="72"/>
    <n v="10.123900000000001"/>
    <n v="4.3895"/>
    <n v="0"/>
    <n v="617.78060000000005"/>
    <n v="241.07740000000001"/>
    <n v="0"/>
    <x v="199"/>
    <n v="5.7344000000000008"/>
    <n v="241.07740000000001"/>
    <n v="376.70320000000004"/>
  </r>
  <r>
    <x v="304"/>
    <s v=" Voyage Turkey"/>
    <x v="86"/>
    <x v="0"/>
    <x v="3"/>
    <n v="120"/>
    <n v="0"/>
    <n v="56.203800000000001"/>
    <n v="22.180299999999999"/>
    <n v="0"/>
    <n v="3259.8697999999999"/>
    <n v="1260.6195"/>
    <x v="1"/>
    <n v="-56.203800000000001"/>
    <n v="1999.2502999999999"/>
    <n v="-3259.8697999999999"/>
  </r>
  <r>
    <x v="305"/>
    <s v=" Voyage Turkey"/>
    <x v="86"/>
    <x v="0"/>
    <x v="3"/>
    <n v="72"/>
    <n v="0"/>
    <n v="15.356400000000001"/>
    <n v="10.720599999999999"/>
    <n v="0"/>
    <n v="847.21910000000003"/>
    <n v="534.71069999999997"/>
    <x v="1"/>
    <n v="-15.356400000000001"/>
    <n v="312.50840000000005"/>
    <n v="-847.21910000000003"/>
  </r>
  <r>
    <x v="306"/>
    <s v=" Voyage Turkey"/>
    <x v="87"/>
    <x v="0"/>
    <x v="0"/>
    <n v="80"/>
    <n v="1.0731999999999999"/>
    <n v="0"/>
    <n v="0"/>
    <n v="47.075600000000001"/>
    <n v="0"/>
    <n v="0"/>
    <x v="1"/>
    <n v="1.0731999999999999"/>
    <n v="0"/>
    <n v="47.075600000000001"/>
  </r>
  <r>
    <x v="307"/>
    <s v=" Voyage Turkey"/>
    <x v="88"/>
    <x v="0"/>
    <x v="3"/>
    <n v="88"/>
    <n v="2.6486999999999998"/>
    <n v="0"/>
    <n v="0"/>
    <n v="124.62050000000001"/>
    <n v="0"/>
    <n v="0"/>
    <x v="1"/>
    <n v="2.6486999999999998"/>
    <n v="0"/>
    <n v="124.62050000000001"/>
  </r>
  <r>
    <x v="308"/>
    <s v=" Voyage Turkey"/>
    <x v="89"/>
    <x v="0"/>
    <x v="1"/>
    <n v="120"/>
    <n v="84.095799999999997"/>
    <n v="151.49979999999999"/>
    <n v="39.488900000000001"/>
    <n v="4863.5491000000002"/>
    <n v="8687.4974999999995"/>
    <n v="2240.9688000000001"/>
    <x v="200"/>
    <n v="-67.403999999999996"/>
    <n v="6446.5286999999989"/>
    <n v="-3823.9483999999993"/>
  </r>
  <r>
    <x v="309"/>
    <s v=" Voyage Turkey"/>
    <x v="89"/>
    <x v="0"/>
    <x v="1"/>
    <n v="72"/>
    <n v="24.440899999999999"/>
    <n v="13.931900000000001"/>
    <n v="5.4257"/>
    <n v="1419.3269"/>
    <n v="757.8877"/>
    <n v="289.12630000000001"/>
    <x v="201"/>
    <n v="10.508999999999999"/>
    <n v="468.76139999999998"/>
    <n v="661.43920000000003"/>
  </r>
  <r>
    <x v="310"/>
    <s v=" Voyage Turkey"/>
    <x v="89"/>
    <x v="0"/>
    <x v="1"/>
    <n v="72"/>
    <n v="2.0893000000000002"/>
    <n v="2.5973000000000002"/>
    <n v="0.1109"/>
    <n v="135.5565"/>
    <n v="141.02850000000001"/>
    <n v="6.4691999999999998"/>
    <x v="202"/>
    <n v="-0.50800000000000001"/>
    <n v="134.55930000000001"/>
    <n v="-5.4720000000000084"/>
  </r>
  <r>
    <x v="311"/>
    <s v=" Nur Food Industry"/>
    <x v="85"/>
    <x v="0"/>
    <x v="1"/>
    <n v="120"/>
    <n v="6.1833"/>
    <n v="0.61119999999999997"/>
    <n v="0"/>
    <n v="392.1592"/>
    <n v="31.181999999999999"/>
    <n v="0"/>
    <x v="203"/>
    <n v="5.5720999999999998"/>
    <n v="31.181999999999999"/>
    <n v="360.97719999999998"/>
  </r>
  <r>
    <x v="312"/>
    <s v=" Nur Food Industry"/>
    <x v="90"/>
    <x v="0"/>
    <x v="1"/>
    <n v="120"/>
    <n v="2.5480999999999998"/>
    <n v="2.6009000000000002"/>
    <n v="0"/>
    <n v="132.16820000000001"/>
    <n v="141.76490000000001"/>
    <n v="0"/>
    <x v="204"/>
    <n v="-5.2800000000000402E-2"/>
    <n v="141.76490000000001"/>
    <n v="-9.5966999999999985"/>
  </r>
  <r>
    <x v="313"/>
    <s v=" O-Package S.R.L."/>
    <x v="91"/>
    <x v="0"/>
    <x v="4"/>
    <n v="20"/>
    <n v="0.15809999999999999"/>
    <n v="2E-3"/>
    <n v="1E-3"/>
    <n v="2.1"/>
    <n v="0.02"/>
    <n v="0.02"/>
    <x v="205"/>
    <n v="0.15609999999999999"/>
    <n v="0"/>
    <n v="2.08"/>
  </r>
  <r>
    <x v="314"/>
    <s v=" OnTop"/>
    <x v="92"/>
    <x v="0"/>
    <x v="2"/>
    <n v="56"/>
    <n v="6.0000000000000001E-3"/>
    <n v="0.35439999999999999"/>
    <n v="0"/>
    <n v="0.33839999999999998"/>
    <n v="16.541699999999999"/>
    <n v="0"/>
    <x v="206"/>
    <n v="-0.34839999999999999"/>
    <n v="16.541699999999999"/>
    <n v="-16.203299999999999"/>
  </r>
  <r>
    <x v="315"/>
    <s v=" CrescentTextile SAN"/>
    <x v="93"/>
    <x v="0"/>
    <x v="1"/>
    <n v="72"/>
    <n v="0"/>
    <n v="0"/>
    <n v="9.8000000000000004E-2"/>
    <n v="0"/>
    <n v="0"/>
    <n v="3.3592"/>
    <x v="1"/>
    <n v="0"/>
    <n v="-3.3592"/>
    <n v="0"/>
  </r>
  <r>
    <x v="316"/>
    <s v=" PakChem"/>
    <x v="94"/>
    <x v="0"/>
    <x v="0"/>
    <n v="72"/>
    <n v="0"/>
    <n v="0.79349999999999998"/>
    <n v="0.7298"/>
    <n v="0"/>
    <n v="47.268799999999999"/>
    <n v="43.602699999999999"/>
    <x v="1"/>
    <n v="-0.79349999999999998"/>
    <n v="3.6661000000000001"/>
    <n v="-47.268799999999999"/>
  </r>
  <r>
    <x v="317"/>
    <s v=" Daisy Cotton Cosmetics"/>
    <x v="95"/>
    <x v="0"/>
    <x v="1"/>
    <n v="90"/>
    <n v="0.36020000000000002"/>
    <n v="5.21E-2"/>
    <n v="9.4000000000000004E-3"/>
    <n v="19.065100000000001"/>
    <n v="2.6206"/>
    <n v="0.48"/>
    <x v="207"/>
    <n v="0.30810000000000004"/>
    <n v="2.1406000000000001"/>
    <n v="16.444500000000001"/>
  </r>
  <r>
    <x v="318"/>
    <s v=" IdealGroup"/>
    <x v="96"/>
    <x v="0"/>
    <x v="1"/>
    <n v="80"/>
    <n v="0"/>
    <n v="0"/>
    <n v="2.0999999999999999E-3"/>
    <n v="0"/>
    <n v="0"/>
    <n v="0.17710000000000001"/>
    <x v="1"/>
    <n v="0"/>
    <n v="-0.17710000000000001"/>
    <n v="0"/>
  </r>
  <r>
    <x v="319"/>
    <s v=" PhoenixMedicine DOO"/>
    <x v="97"/>
    <x v="0"/>
    <x v="2"/>
    <n v="24"/>
    <n v="1.4545999999999999"/>
    <n v="0.15629999999999999"/>
    <n v="5.8099999999999999E-2"/>
    <n v="31.957999999999998"/>
    <n v="3.1030000000000002"/>
    <n v="1.1613"/>
    <x v="208"/>
    <n v="1.2982999999999998"/>
    <n v="1.9417000000000002"/>
    <n v="28.854999999999997"/>
  </r>
  <r>
    <x v="320"/>
    <s v=" PhoenixMedicine DOO"/>
    <x v="97"/>
    <x v="0"/>
    <x v="2"/>
    <n v="72"/>
    <n v="0.69610000000000005"/>
    <n v="0"/>
    <n v="0"/>
    <n v="23.8918"/>
    <n v="0"/>
    <n v="0"/>
    <x v="1"/>
    <n v="0.69610000000000005"/>
    <n v="0"/>
    <n v="23.8918"/>
  </r>
  <r>
    <x v="321"/>
    <s v=" FabreStone"/>
    <x v="98"/>
    <x v="0"/>
    <x v="2"/>
    <n v="25"/>
    <n v="0.83640000000000003"/>
    <n v="0.55679999999999996"/>
    <n v="0.16950000000000001"/>
    <n v="3.2871000000000001"/>
    <n v="1.9970000000000001"/>
    <n v="0.75749999999999995"/>
    <x v="209"/>
    <n v="0.27960000000000007"/>
    <n v="1.2395"/>
    <n v="1.2901"/>
  </r>
  <r>
    <x v="322"/>
    <s v=" FabreStone"/>
    <x v="98"/>
    <x v="0"/>
    <x v="2"/>
    <n v="70"/>
    <n v="1.8599999999999998E-2"/>
    <n v="0"/>
    <n v="0"/>
    <n v="0.14000000000000001"/>
    <n v="0"/>
    <n v="0"/>
    <x v="1"/>
    <n v="1.8599999999999998E-2"/>
    <n v="0"/>
    <n v="0.14000000000000001"/>
  </r>
  <r>
    <x v="323"/>
    <s v=" FabreStone"/>
    <x v="98"/>
    <x v="0"/>
    <x v="2"/>
    <n v="70"/>
    <n v="0.34599999999999997"/>
    <n v="0.3881"/>
    <n v="0.2717"/>
    <n v="2.4157999999999999"/>
    <n v="2.4979"/>
    <n v="1.68"/>
    <x v="210"/>
    <n v="-4.2100000000000026E-2"/>
    <n v="0.81790000000000007"/>
    <n v="-8.2100000000000062E-2"/>
  </r>
  <r>
    <x v="324"/>
    <s v=" FabreStone"/>
    <x v="98"/>
    <x v="0"/>
    <x v="2"/>
    <n v="70"/>
    <n v="0.25569999999999998"/>
    <n v="2.6200000000000001E-2"/>
    <n v="0"/>
    <n v="2.27"/>
    <n v="0.31"/>
    <n v="0"/>
    <x v="211"/>
    <n v="0.22949999999999998"/>
    <n v="0.31"/>
    <n v="1.96"/>
  </r>
  <r>
    <x v="325"/>
    <s v=" Pyramid72 DOO"/>
    <x v="85"/>
    <x v="0"/>
    <x v="1"/>
    <n v="60"/>
    <n v="4.2514000000000003"/>
    <n v="9.5349000000000004"/>
    <n v="4.3247999999999998"/>
    <n v="118.9742"/>
    <n v="264.43900000000002"/>
    <n v="116.2043"/>
    <x v="212"/>
    <n v="-5.2835000000000001"/>
    <n v="148.23470000000003"/>
    <n v="-145.46480000000003"/>
  </r>
  <r>
    <x v="326"/>
    <s v=" Pyramid72 DOO"/>
    <x v="85"/>
    <x v="0"/>
    <x v="1"/>
    <n v="60"/>
    <n v="0"/>
    <n v="3.1814"/>
    <n v="1.8621000000000001"/>
    <n v="0"/>
    <n v="84.536500000000004"/>
    <n v="48.9773"/>
    <x v="1"/>
    <n v="-3.1814"/>
    <n v="35.559200000000004"/>
    <n v="-84.536500000000004"/>
  </r>
  <r>
    <x v="327"/>
    <s v=" Pyramid72 DOO"/>
    <x v="85"/>
    <x v="0"/>
    <x v="0"/>
    <n v="60"/>
    <n v="9.6434999999999995"/>
    <n v="0"/>
    <n v="0"/>
    <n v="280.5643"/>
    <n v="0"/>
    <n v="0"/>
    <x v="1"/>
    <n v="9.6434999999999995"/>
    <n v="0"/>
    <n v="280.5643"/>
  </r>
  <r>
    <x v="328"/>
    <s v=" Pyramid72 DOO"/>
    <x v="85"/>
    <x v="0"/>
    <x v="0"/>
    <n v="60"/>
    <n v="12.711499999999999"/>
    <n v="0"/>
    <n v="0"/>
    <n v="374.43990000000002"/>
    <n v="0"/>
    <n v="0"/>
    <x v="1"/>
    <n v="12.711499999999999"/>
    <n v="0"/>
    <n v="374.43990000000002"/>
  </r>
  <r>
    <x v="329"/>
    <s v=" PreDone"/>
    <x v="99"/>
    <x v="0"/>
    <x v="3"/>
    <n v="120"/>
    <n v="0"/>
    <n v="0"/>
    <n v="0.624"/>
    <n v="0"/>
    <n v="0"/>
    <n v="34.035699999999999"/>
    <x v="1"/>
    <n v="0"/>
    <n v="-34.035699999999999"/>
    <n v="0"/>
  </r>
  <r>
    <x v="330"/>
    <s v=" ProStart 97"/>
    <x v="100"/>
    <x v="0"/>
    <x v="0"/>
    <n v="64"/>
    <n v="192.72300000000001"/>
    <n v="183.24340000000001"/>
    <n v="97.209599999999995"/>
    <n v="7900.9691000000003"/>
    <n v="6838.8454000000002"/>
    <n v="3264.5805999999998"/>
    <x v="213"/>
    <n v="9.4796000000000049"/>
    <n v="3574.2648000000004"/>
    <n v="1062.1237000000001"/>
  </r>
  <r>
    <x v="331"/>
    <s v=" Proctor &amp; Wager"/>
    <x v="101"/>
    <x v="0"/>
    <x v="2"/>
    <n v="12"/>
    <n v="6.59E-2"/>
    <n v="0.95820000000000005"/>
    <n v="0"/>
    <n v="0.18509999999999999"/>
    <n v="3.0327999999999999"/>
    <n v="0"/>
    <x v="214"/>
    <n v="-0.89230000000000009"/>
    <n v="3.0327999999999999"/>
    <n v="-2.8477000000000001"/>
  </r>
  <r>
    <x v="332"/>
    <s v=" Proctor &amp; Wager"/>
    <x v="101"/>
    <x v="0"/>
    <x v="2"/>
    <n v="12"/>
    <n v="5.1000000000000004E-3"/>
    <n v="0.40570000000000001"/>
    <n v="0"/>
    <n v="1.37E-2"/>
    <n v="1.3527"/>
    <n v="0"/>
    <x v="215"/>
    <n v="-0.40060000000000001"/>
    <n v="1.3527"/>
    <n v="-1.339"/>
  </r>
  <r>
    <x v="333"/>
    <s v=" Proctor &amp; Wager"/>
    <x v="101"/>
    <x v="0"/>
    <x v="2"/>
    <n v="12"/>
    <n v="0.1182"/>
    <n v="1.0884"/>
    <n v="0"/>
    <n v="0.31890000000000002"/>
    <n v="3.3033999999999999"/>
    <n v="0"/>
    <x v="216"/>
    <n v="-0.97020000000000006"/>
    <n v="3.3033999999999999"/>
    <n v="-2.9844999999999997"/>
  </r>
  <r>
    <x v="334"/>
    <s v=" Proctor &amp; Wager"/>
    <x v="101"/>
    <x v="0"/>
    <x v="3"/>
    <n v="12"/>
    <n v="0.87180000000000002"/>
    <n v="4.3999999999999997E-2"/>
    <n v="0"/>
    <n v="8.5823999999999998"/>
    <n v="0.58599999999999997"/>
    <n v="0"/>
    <x v="217"/>
    <n v="0.82779999999999998"/>
    <n v="0.58599999999999997"/>
    <n v="7.9963999999999995"/>
  </r>
  <r>
    <x v="335"/>
    <s v=" Proctor &amp; Wager"/>
    <x v="101"/>
    <x v="0"/>
    <x v="3"/>
    <n v="12"/>
    <n v="5.4508000000000001"/>
    <n v="2.1189"/>
    <n v="0.77749999999999997"/>
    <n v="70.866600000000005"/>
    <n v="26.7118"/>
    <n v="8.9403000000000006"/>
    <x v="218"/>
    <n v="3.3319000000000001"/>
    <n v="17.7715"/>
    <n v="44.154800000000009"/>
  </r>
  <r>
    <x v="336"/>
    <s v=" Proctor &amp; Wager"/>
    <x v="101"/>
    <x v="0"/>
    <x v="2"/>
    <n v="24"/>
    <n v="9.06E-2"/>
    <n v="0"/>
    <n v="0"/>
    <n v="1.3372999999999999"/>
    <n v="0"/>
    <n v="0"/>
    <x v="1"/>
    <n v="9.06E-2"/>
    <n v="0"/>
    <n v="1.3372999999999999"/>
  </r>
  <r>
    <x v="337"/>
    <s v=" Proctor &amp; Wager"/>
    <x v="101"/>
    <x v="0"/>
    <x v="0"/>
    <n v="37"/>
    <n v="1.3827"/>
    <n v="0.7681"/>
    <n v="2.3199999999999998E-2"/>
    <n v="23.328099999999999"/>
    <n v="13.2523"/>
    <n v="0.52669999999999995"/>
    <x v="219"/>
    <n v="0.61460000000000004"/>
    <n v="12.7256"/>
    <n v="10.075799999999999"/>
  </r>
  <r>
    <x v="338"/>
    <s v=" Proctor &amp; Wager"/>
    <x v="101"/>
    <x v="0"/>
    <x v="2"/>
    <n v="48"/>
    <n v="0"/>
    <n v="0"/>
    <n v="20.740400000000001"/>
    <n v="0"/>
    <n v="0"/>
    <n v="310.0301"/>
    <x v="1"/>
    <n v="0"/>
    <n v="-310.0301"/>
    <n v="0"/>
  </r>
  <r>
    <x v="339"/>
    <s v=" Proctor &amp; Wager"/>
    <x v="101"/>
    <x v="0"/>
    <x v="2"/>
    <n v="48"/>
    <n v="0"/>
    <n v="0"/>
    <n v="1.2435"/>
    <n v="0"/>
    <n v="0"/>
    <n v="17.1813"/>
    <x v="1"/>
    <n v="0"/>
    <n v="-17.1813"/>
    <n v="0"/>
  </r>
  <r>
    <x v="340"/>
    <s v=" Proctor &amp; Wager"/>
    <x v="101"/>
    <x v="0"/>
    <x v="2"/>
    <n v="48"/>
    <n v="4.0780000000000003"/>
    <n v="35.126199999999997"/>
    <n v="26.273900000000001"/>
    <n v="71.718599999999995"/>
    <n v="592.5693"/>
    <n v="441.30500000000001"/>
    <x v="220"/>
    <n v="-31.048199999999998"/>
    <n v="151.26429999999999"/>
    <n v="-520.85069999999996"/>
  </r>
  <r>
    <x v="341"/>
    <s v=" Proctor &amp; Wager"/>
    <x v="101"/>
    <x v="0"/>
    <x v="2"/>
    <n v="48"/>
    <n v="264.06810000000002"/>
    <n v="329.44319999999999"/>
    <n v="205.9486"/>
    <n v="3958.0279"/>
    <n v="5113.9928"/>
    <n v="2876.5592000000001"/>
    <x v="221"/>
    <n v="-65.375099999999975"/>
    <n v="2237.4335999999998"/>
    <n v="-1155.9648999999999"/>
  </r>
  <r>
    <x v="342"/>
    <s v=" Proctor &amp; Wager"/>
    <x v="101"/>
    <x v="0"/>
    <x v="2"/>
    <n v="52"/>
    <n v="8.5046999999999997"/>
    <n v="12.872299999999999"/>
    <n v="4.3821000000000003"/>
    <n v="194.4057"/>
    <n v="338.25259999999997"/>
    <n v="110.48520000000001"/>
    <x v="222"/>
    <n v="-4.3675999999999995"/>
    <n v="227.76739999999995"/>
    <n v="-143.84689999999998"/>
  </r>
  <r>
    <x v="343"/>
    <s v=" Proctor &amp; Wager"/>
    <x v="101"/>
    <x v="0"/>
    <x v="2"/>
    <n v="52"/>
    <n v="171.4581"/>
    <n v="146.56880000000001"/>
    <n v="94.527100000000004"/>
    <n v="5827.8176999999996"/>
    <n v="5036.4476000000004"/>
    <n v="3121.8564000000001"/>
    <x v="223"/>
    <n v="24.889299999999992"/>
    <n v="1914.5912000000003"/>
    <n v="791.37009999999918"/>
  </r>
  <r>
    <x v="344"/>
    <s v=" Proctor &amp; Wager"/>
    <x v="101"/>
    <x v="0"/>
    <x v="2"/>
    <n v="52"/>
    <n v="195.73400000000001"/>
    <n v="242.5813"/>
    <n v="163.20820000000001"/>
    <n v="3936.1988000000001"/>
    <n v="5003.2757000000001"/>
    <n v="3062.0891000000001"/>
    <x v="224"/>
    <n v="-46.84729999999999"/>
    <n v="1941.1866"/>
    <n v="-1067.0769"/>
  </r>
  <r>
    <x v="345"/>
    <s v=" Proctor &amp; Wager"/>
    <x v="101"/>
    <x v="0"/>
    <x v="2"/>
    <n v="52"/>
    <n v="0.2492"/>
    <n v="5.8500000000000003E-2"/>
    <n v="0"/>
    <n v="4.6970000000000001"/>
    <n v="1.1557999999999999"/>
    <n v="0"/>
    <x v="225"/>
    <n v="0.19070000000000001"/>
    <n v="1.1557999999999999"/>
    <n v="3.5411999999999999"/>
  </r>
  <r>
    <x v="346"/>
    <s v=" Proctor &amp; Wager"/>
    <x v="101"/>
    <x v="0"/>
    <x v="2"/>
    <n v="52"/>
    <n v="0.97950000000000004"/>
    <n v="0"/>
    <n v="0"/>
    <n v="23.239000000000001"/>
    <n v="0"/>
    <n v="0"/>
    <x v="1"/>
    <n v="0.97950000000000004"/>
    <n v="0"/>
    <n v="23.239000000000001"/>
  </r>
  <r>
    <x v="347"/>
    <s v=" Proctor &amp; Wager"/>
    <x v="101"/>
    <x v="0"/>
    <x v="2"/>
    <n v="52"/>
    <n v="1.0518000000000001"/>
    <n v="0"/>
    <n v="0"/>
    <n v="15.4772"/>
    <n v="0"/>
    <n v="0"/>
    <x v="1"/>
    <n v="1.0518000000000001"/>
    <n v="0"/>
    <n v="15.4772"/>
  </r>
  <r>
    <x v="348"/>
    <s v=" Proctor &amp; Wager"/>
    <x v="101"/>
    <x v="0"/>
    <x v="2"/>
    <n v="52"/>
    <n v="1.23"/>
    <n v="5.5100000000000003E-2"/>
    <n v="0"/>
    <n v="22.518699999999999"/>
    <n v="1.0911"/>
    <n v="0"/>
    <x v="226"/>
    <n v="1.1749000000000001"/>
    <n v="1.0911"/>
    <n v="21.427599999999998"/>
  </r>
  <r>
    <x v="349"/>
    <s v=" Proctor &amp; Wager"/>
    <x v="101"/>
    <x v="0"/>
    <x v="2"/>
    <n v="52"/>
    <n v="0.64070000000000005"/>
    <n v="0"/>
    <n v="0"/>
    <n v="15.170299999999999"/>
    <n v="0"/>
    <n v="0"/>
    <x v="1"/>
    <n v="0.64070000000000005"/>
    <n v="0"/>
    <n v="15.170299999999999"/>
  </r>
  <r>
    <x v="350"/>
    <s v=" Proctor &amp; Wager"/>
    <x v="101"/>
    <x v="0"/>
    <x v="2"/>
    <n v="52"/>
    <n v="0.8125"/>
    <n v="2.2100000000000002E-2"/>
    <n v="0"/>
    <n v="14.451000000000001"/>
    <n v="0.38290000000000002"/>
    <n v="0"/>
    <x v="227"/>
    <n v="0.79039999999999999"/>
    <n v="0.38290000000000002"/>
    <n v="14.068100000000001"/>
  </r>
  <r>
    <x v="351"/>
    <s v=" Proctor &amp; Wager"/>
    <x v="101"/>
    <x v="0"/>
    <x v="2"/>
    <n v="52"/>
    <n v="0.40889999999999999"/>
    <n v="7.7899999999999997E-2"/>
    <n v="0"/>
    <n v="9.6999999999999993"/>
    <n v="1.9962"/>
    <n v="0"/>
    <x v="228"/>
    <n v="0.33099999999999996"/>
    <n v="1.9962"/>
    <n v="7.7037999999999993"/>
  </r>
  <r>
    <x v="352"/>
    <s v=" Proctor &amp; Wager"/>
    <x v="101"/>
    <x v="0"/>
    <x v="2"/>
    <n v="52"/>
    <n v="1.716"/>
    <n v="0"/>
    <n v="0"/>
    <n v="43.815600000000003"/>
    <n v="0"/>
    <n v="0"/>
    <x v="1"/>
    <n v="1.716"/>
    <n v="0"/>
    <n v="43.815600000000003"/>
  </r>
  <r>
    <x v="353"/>
    <s v=" Proctor &amp; Wager"/>
    <x v="101"/>
    <x v="0"/>
    <x v="2"/>
    <n v="52"/>
    <n v="0.17050000000000001"/>
    <n v="7.7700000000000005E-2"/>
    <n v="0"/>
    <n v="3.5674000000000001"/>
    <n v="1.7087000000000001"/>
    <n v="0"/>
    <x v="229"/>
    <n v="9.2800000000000007E-2"/>
    <n v="1.7087000000000001"/>
    <n v="1.8587"/>
  </r>
  <r>
    <x v="354"/>
    <s v=" Proctor &amp; Wager"/>
    <x v="101"/>
    <x v="0"/>
    <x v="2"/>
    <n v="52"/>
    <n v="1.5501"/>
    <n v="0.42659999999999998"/>
    <n v="0.12859999999999999"/>
    <n v="28.959800000000001"/>
    <n v="8.7736999999999998"/>
    <n v="2.5320999999999998"/>
    <x v="230"/>
    <n v="1.1234999999999999"/>
    <n v="6.2416"/>
    <n v="20.186100000000003"/>
  </r>
  <r>
    <x v="355"/>
    <s v=" Proctor &amp; Wager"/>
    <x v="101"/>
    <x v="0"/>
    <x v="2"/>
    <n v="52"/>
    <n v="0.83640000000000003"/>
    <n v="0.51139999999999997"/>
    <n v="0"/>
    <n v="18.6389"/>
    <n v="9.5508000000000006"/>
    <n v="0"/>
    <x v="231"/>
    <n v="0.32500000000000007"/>
    <n v="9.5508000000000006"/>
    <n v="9.088099999999999"/>
  </r>
  <r>
    <x v="356"/>
    <s v=" Proctor &amp; Wager"/>
    <x v="101"/>
    <x v="0"/>
    <x v="2"/>
    <n v="52"/>
    <n v="0.72089999999999999"/>
    <n v="0"/>
    <n v="0"/>
    <n v="9.8262"/>
    <n v="0"/>
    <n v="0"/>
    <x v="1"/>
    <n v="0.72089999999999999"/>
    <n v="0"/>
    <n v="9.8262"/>
  </r>
  <r>
    <x v="357"/>
    <s v=" Proctor &amp; Wager"/>
    <x v="101"/>
    <x v="0"/>
    <x v="2"/>
    <n v="52"/>
    <n v="0.48470000000000002"/>
    <n v="0"/>
    <n v="0"/>
    <n v="10.088699999999999"/>
    <n v="0"/>
    <n v="0"/>
    <x v="1"/>
    <n v="0.48470000000000002"/>
    <n v="0"/>
    <n v="10.088699999999999"/>
  </r>
  <r>
    <x v="358"/>
    <s v=" Proctor &amp; Wager"/>
    <x v="101"/>
    <x v="0"/>
    <x v="2"/>
    <n v="52"/>
    <n v="1.3634999999999999"/>
    <n v="2.1999999999999999E-2"/>
    <n v="0"/>
    <n v="21.971299999999999"/>
    <n v="0.34660000000000002"/>
    <n v="0"/>
    <x v="232"/>
    <n v="1.3414999999999999"/>
    <n v="0.34660000000000002"/>
    <n v="21.624700000000001"/>
  </r>
  <r>
    <x v="359"/>
    <s v=" Proctor &amp; Wager"/>
    <x v="101"/>
    <x v="0"/>
    <x v="2"/>
    <n v="52"/>
    <n v="0.2001"/>
    <n v="0"/>
    <n v="0"/>
    <n v="3.1530999999999998"/>
    <n v="0"/>
    <n v="0"/>
    <x v="1"/>
    <n v="0.2001"/>
    <n v="0"/>
    <n v="3.1530999999999998"/>
  </r>
  <r>
    <x v="360"/>
    <s v=" Proctor &amp; Wager"/>
    <x v="101"/>
    <x v="0"/>
    <x v="2"/>
    <n v="52"/>
    <n v="0.30409999999999998"/>
    <n v="0"/>
    <n v="0"/>
    <n v="4.4311999999999996"/>
    <n v="0"/>
    <n v="0"/>
    <x v="1"/>
    <n v="0.30409999999999998"/>
    <n v="0"/>
    <n v="4.4311999999999996"/>
  </r>
  <r>
    <x v="361"/>
    <s v=" Proctor &amp; Wager"/>
    <x v="101"/>
    <x v="0"/>
    <x v="2"/>
    <n v="52"/>
    <n v="1.4756"/>
    <n v="0.29549999999999998"/>
    <n v="0.13869999999999999"/>
    <n v="38.575499999999998"/>
    <n v="5.6929999999999996"/>
    <n v="2.5320999999999998"/>
    <x v="233"/>
    <n v="1.1800999999999999"/>
    <n v="3.1608999999999998"/>
    <n v="32.8825"/>
  </r>
  <r>
    <x v="362"/>
    <s v=" Proctor &amp; Wager"/>
    <x v="101"/>
    <x v="0"/>
    <x v="2"/>
    <n v="52"/>
    <n v="0.92279999999999995"/>
    <n v="0"/>
    <n v="0"/>
    <n v="21.822199999999999"/>
    <n v="0"/>
    <n v="0"/>
    <x v="1"/>
    <n v="0.92279999999999995"/>
    <n v="0"/>
    <n v="21.822199999999999"/>
  </r>
  <r>
    <x v="363"/>
    <s v=" Proctor &amp; Wager"/>
    <x v="101"/>
    <x v="0"/>
    <x v="2"/>
    <n v="52"/>
    <n v="105.723"/>
    <n v="231.39109999999999"/>
    <n v="190.30779999999999"/>
    <n v="3632.1455999999998"/>
    <n v="7878.6941999999999"/>
    <n v="6167.0902999999998"/>
    <x v="234"/>
    <n v="-125.6681"/>
    <n v="1711.6039000000001"/>
    <n v="-4246.5486000000001"/>
  </r>
  <r>
    <x v="364"/>
    <s v=" Proctor &amp; Wager"/>
    <x v="101"/>
    <x v="0"/>
    <x v="2"/>
    <n v="52"/>
    <n v="0.97140000000000004"/>
    <n v="3.1E-2"/>
    <n v="0"/>
    <n v="22.952100000000002"/>
    <n v="0.70540000000000003"/>
    <n v="0"/>
    <x v="235"/>
    <n v="0.94040000000000001"/>
    <n v="0.70540000000000003"/>
    <n v="22.246700000000001"/>
  </r>
  <r>
    <x v="365"/>
    <s v=" Proctor &amp; Wager"/>
    <x v="101"/>
    <x v="0"/>
    <x v="2"/>
    <n v="52"/>
    <n v="0.23680000000000001"/>
    <n v="0"/>
    <n v="0"/>
    <n v="4.3052000000000001"/>
    <n v="0"/>
    <n v="0"/>
    <x v="1"/>
    <n v="0.23680000000000001"/>
    <n v="0"/>
    <n v="4.3052000000000001"/>
  </r>
  <r>
    <x v="366"/>
    <s v=" Proctor &amp; Wager"/>
    <x v="101"/>
    <x v="0"/>
    <x v="3"/>
    <n v="52"/>
    <n v="40.155500000000004"/>
    <n v="53.039099999999998"/>
    <n v="19.640599999999999"/>
    <n v="809.24120000000005"/>
    <n v="1117.5988"/>
    <n v="353.57029999999997"/>
    <x v="236"/>
    <n v="-12.883599999999994"/>
    <n v="764.02850000000001"/>
    <n v="-308.35759999999993"/>
  </r>
  <r>
    <x v="367"/>
    <s v=" Proctor &amp; Wager"/>
    <x v="101"/>
    <x v="0"/>
    <x v="3"/>
    <n v="52"/>
    <n v="124.0141"/>
    <n v="119.1621"/>
    <n v="72.991100000000003"/>
    <n v="4179.8078999999998"/>
    <n v="4057.9854"/>
    <n v="2439.5360000000001"/>
    <x v="237"/>
    <n v="4.8520000000000039"/>
    <n v="1618.4494"/>
    <n v="121.82249999999976"/>
  </r>
  <r>
    <x v="368"/>
    <s v=" Proctor &amp; Wager"/>
    <x v="101"/>
    <x v="0"/>
    <x v="3"/>
    <n v="52"/>
    <n v="126.2456"/>
    <n v="161.7927"/>
    <n v="82.616799999999998"/>
    <n v="2585.6873000000001"/>
    <n v="3416.431"/>
    <n v="1611.8206"/>
    <x v="238"/>
    <n v="-35.5471"/>
    <n v="1804.6104"/>
    <n v="-830.74369999999999"/>
  </r>
  <r>
    <x v="369"/>
    <s v=" Proctor &amp; Wager"/>
    <x v="101"/>
    <x v="0"/>
    <x v="3"/>
    <n v="52"/>
    <n v="95.148099999999999"/>
    <n v="213.16730000000001"/>
    <n v="155.60400000000001"/>
    <n v="3171.4767999999999"/>
    <n v="7264.2154"/>
    <n v="5013.7686000000003"/>
    <x v="239"/>
    <n v="-118.01920000000001"/>
    <n v="2250.4467999999997"/>
    <n v="-4092.7386000000001"/>
  </r>
  <r>
    <x v="370"/>
    <s v=" Proctor &amp; Wager"/>
    <x v="101"/>
    <x v="0"/>
    <x v="3"/>
    <n v="54"/>
    <n v="19.249199999999998"/>
    <n v="1.4004000000000001"/>
    <n v="0"/>
    <n v="316.69850000000002"/>
    <n v="25.215900000000001"/>
    <n v="0"/>
    <x v="240"/>
    <n v="17.848799999999997"/>
    <n v="25.215900000000001"/>
    <n v="291.48260000000005"/>
  </r>
  <r>
    <x v="371"/>
    <s v=" Proctor &amp; Wager"/>
    <x v="101"/>
    <x v="0"/>
    <x v="3"/>
    <n v="56"/>
    <n v="0.76639999999999997"/>
    <n v="3.6499999999999998E-2"/>
    <n v="0"/>
    <n v="14.48"/>
    <n v="0.67200000000000004"/>
    <n v="0"/>
    <x v="241"/>
    <n v="0.72989999999999999"/>
    <n v="0.67200000000000004"/>
    <n v="13.808"/>
  </r>
  <r>
    <x v="372"/>
    <s v=" Proctor &amp; Wager"/>
    <x v="101"/>
    <x v="0"/>
    <x v="3"/>
    <n v="56"/>
    <n v="0.17649999999999999"/>
    <n v="0"/>
    <n v="0"/>
    <n v="2.9144999999999999"/>
    <n v="0"/>
    <n v="0"/>
    <x v="1"/>
    <n v="0.17649999999999999"/>
    <n v="0"/>
    <n v="2.9144999999999999"/>
  </r>
  <r>
    <x v="373"/>
    <s v=" Proctor &amp; Wager"/>
    <x v="101"/>
    <x v="0"/>
    <x v="3"/>
    <n v="56"/>
    <n v="3.9998"/>
    <n v="2.0327000000000002"/>
    <n v="0.44619999999999999"/>
    <n v="76.599100000000007"/>
    <n v="45.206499999999998"/>
    <n v="9.7993000000000006"/>
    <x v="242"/>
    <n v="1.9670999999999998"/>
    <n v="35.407199999999996"/>
    <n v="31.392600000000009"/>
  </r>
  <r>
    <x v="374"/>
    <s v=" Proctor &amp; Wager"/>
    <x v="101"/>
    <x v="0"/>
    <x v="3"/>
    <n v="56"/>
    <n v="3.4256000000000002"/>
    <n v="0.1051"/>
    <n v="0"/>
    <n v="52.9163"/>
    <n v="1.5987"/>
    <n v="0"/>
    <x v="243"/>
    <n v="3.3205"/>
    <n v="1.5987"/>
    <n v="51.317599999999999"/>
  </r>
  <r>
    <x v="375"/>
    <s v=" Proctor &amp; Wager"/>
    <x v="101"/>
    <x v="0"/>
    <x v="3"/>
    <n v="56"/>
    <n v="2.7799999999999998E-2"/>
    <n v="0"/>
    <n v="0"/>
    <n v="0.59"/>
    <n v="0"/>
    <n v="0"/>
    <x v="1"/>
    <n v="2.7799999999999998E-2"/>
    <n v="0"/>
    <n v="0.59"/>
  </r>
  <r>
    <x v="376"/>
    <s v=" Proctor &amp; Wager"/>
    <x v="101"/>
    <x v="0"/>
    <x v="3"/>
    <n v="56"/>
    <n v="2.0205000000000002"/>
    <n v="6.1100000000000002E-2"/>
    <n v="4.3E-3"/>
    <n v="30.746600000000001"/>
    <n v="0.89600000000000002"/>
    <n v="5.6000000000000001E-2"/>
    <x v="244"/>
    <n v="1.9594000000000003"/>
    <n v="0.84"/>
    <n v="29.8506"/>
  </r>
  <r>
    <x v="377"/>
    <s v=" Proctor &amp; Wager"/>
    <x v="101"/>
    <x v="0"/>
    <x v="3"/>
    <n v="56"/>
    <n v="2.1128999999999998"/>
    <n v="3.0200000000000001E-2"/>
    <n v="0"/>
    <n v="32.116500000000002"/>
    <n v="0.44800000000000001"/>
    <n v="0"/>
    <x v="245"/>
    <n v="2.0827"/>
    <n v="0.44800000000000001"/>
    <n v="31.668500000000002"/>
  </r>
  <r>
    <x v="378"/>
    <s v=" Proctor &amp; Wager"/>
    <x v="101"/>
    <x v="0"/>
    <x v="3"/>
    <n v="56"/>
    <n v="0.03"/>
    <n v="5.8999999999999999E-3"/>
    <n v="0"/>
    <n v="0.67200000000000004"/>
    <n v="0.16800000000000001"/>
    <n v="0"/>
    <x v="246"/>
    <n v="2.41E-2"/>
    <n v="0.16800000000000001"/>
    <n v="0.504"/>
  </r>
  <r>
    <x v="379"/>
    <s v=" Proctor &amp; Wager"/>
    <x v="101"/>
    <x v="0"/>
    <x v="3"/>
    <n v="56"/>
    <n v="3.5200000000000002E-2"/>
    <n v="0"/>
    <n v="0"/>
    <n v="0.65949999999999998"/>
    <n v="0"/>
    <n v="0"/>
    <x v="1"/>
    <n v="3.5200000000000002E-2"/>
    <n v="0"/>
    <n v="0.65949999999999998"/>
  </r>
  <r>
    <x v="380"/>
    <s v=" Proctor &amp; Wager"/>
    <x v="101"/>
    <x v="0"/>
    <x v="3"/>
    <n v="56"/>
    <n v="0.17460000000000001"/>
    <n v="5.2699999999999997E-2"/>
    <n v="1.09E-2"/>
    <n v="3.8159000000000001"/>
    <n v="1.4"/>
    <n v="0.28000000000000003"/>
    <x v="247"/>
    <n v="0.12190000000000001"/>
    <n v="1.1199999999999999"/>
    <n v="2.4159000000000002"/>
  </r>
  <r>
    <x v="381"/>
    <s v=" Proctor &amp; Wager"/>
    <x v="101"/>
    <x v="0"/>
    <x v="3"/>
    <n v="56"/>
    <n v="1.0412999999999999"/>
    <n v="0"/>
    <n v="0"/>
    <n v="23.5031"/>
    <n v="0"/>
    <n v="0"/>
    <x v="1"/>
    <n v="1.0412999999999999"/>
    <n v="0"/>
    <n v="23.5031"/>
  </r>
  <r>
    <x v="382"/>
    <s v=" Proctor &amp; Wager"/>
    <x v="101"/>
    <x v="0"/>
    <x v="3"/>
    <n v="56"/>
    <n v="3.8100000000000002E-2"/>
    <n v="7.4000000000000003E-3"/>
    <n v="1.11E-2"/>
    <n v="0.67200000000000004"/>
    <n v="0.112"/>
    <n v="0.16800000000000001"/>
    <x v="248"/>
    <n v="3.0700000000000002E-2"/>
    <n v="-5.6000000000000008E-2"/>
    <n v="0.56000000000000005"/>
  </r>
  <r>
    <x v="383"/>
    <s v=" Proctor &amp; Wager"/>
    <x v="101"/>
    <x v="0"/>
    <x v="3"/>
    <n v="56"/>
    <n v="1.0855999999999999"/>
    <n v="0.58120000000000005"/>
    <n v="0"/>
    <n v="19.170200000000001"/>
    <n v="10.2963"/>
    <n v="0"/>
    <x v="249"/>
    <n v="0.50439999999999985"/>
    <n v="10.2963"/>
    <n v="8.8739000000000008"/>
  </r>
  <r>
    <x v="384"/>
    <s v=" Proctor &amp; Wager"/>
    <x v="101"/>
    <x v="0"/>
    <x v="3"/>
    <n v="56"/>
    <n v="0.72109999999999996"/>
    <n v="5.3105000000000002"/>
    <n v="0"/>
    <n v="13.8162"/>
    <n v="130.43450000000001"/>
    <n v="0"/>
    <x v="250"/>
    <n v="-4.5894000000000004"/>
    <n v="130.43450000000001"/>
    <n v="-116.61830000000002"/>
  </r>
  <r>
    <x v="385"/>
    <s v=" Proctor &amp; Wager"/>
    <x v="101"/>
    <x v="0"/>
    <x v="3"/>
    <n v="56"/>
    <n v="0.80620000000000003"/>
    <n v="0"/>
    <n v="0"/>
    <n v="18.060500000000001"/>
    <n v="0"/>
    <n v="0"/>
    <x v="1"/>
    <n v="0.80620000000000003"/>
    <n v="0"/>
    <n v="18.060500000000001"/>
  </r>
  <r>
    <x v="386"/>
    <s v=" Proctor &amp; Wager"/>
    <x v="101"/>
    <x v="0"/>
    <x v="2"/>
    <n v="64"/>
    <n v="15.5359"/>
    <n v="0.67789999999999995"/>
    <n v="0"/>
    <n v="345.3125"/>
    <n v="13.0631"/>
    <n v="0"/>
    <x v="251"/>
    <n v="14.858000000000001"/>
    <n v="13.0631"/>
    <n v="332.24939999999998"/>
  </r>
  <r>
    <x v="387"/>
    <s v=" Proctor &amp; Wager"/>
    <x v="101"/>
    <x v="0"/>
    <x v="0"/>
    <n v="64"/>
    <n v="0.33579999999999999"/>
    <n v="0"/>
    <n v="0"/>
    <n v="9.1472999999999995"/>
    <n v="0"/>
    <n v="0"/>
    <x v="1"/>
    <n v="0.33579999999999999"/>
    <n v="0"/>
    <n v="9.1472999999999995"/>
  </r>
  <r>
    <x v="388"/>
    <s v=" Proctor &amp; Wager"/>
    <x v="101"/>
    <x v="0"/>
    <x v="0"/>
    <n v="64"/>
    <n v="27.901900000000001"/>
    <n v="8.1903000000000006"/>
    <n v="0.88470000000000004"/>
    <n v="618.1096"/>
    <n v="185.2071"/>
    <n v="18.353999999999999"/>
    <x v="252"/>
    <n v="19.711600000000001"/>
    <n v="166.85309999999998"/>
    <n v="432.90250000000003"/>
  </r>
  <r>
    <x v="389"/>
    <s v=" Proctor &amp; Wager"/>
    <x v="101"/>
    <x v="0"/>
    <x v="0"/>
    <n v="64"/>
    <n v="2.58E-2"/>
    <n v="7.9000000000000008E-3"/>
    <n v="0"/>
    <n v="0.57599999999999996"/>
    <n v="0.38400000000000001"/>
    <n v="0"/>
    <x v="253"/>
    <n v="1.7899999999999999E-2"/>
    <n v="0.38400000000000001"/>
    <n v="0.19199999999999995"/>
  </r>
  <r>
    <x v="390"/>
    <s v=" Proctor &amp; Wager"/>
    <x v="101"/>
    <x v="0"/>
    <x v="0"/>
    <n v="64"/>
    <n v="0.55289999999999995"/>
    <n v="0.47820000000000001"/>
    <n v="8.14E-2"/>
    <n v="17.2395"/>
    <n v="16.416799999999999"/>
    <n v="2.5183"/>
    <x v="254"/>
    <n v="7.4699999999999933E-2"/>
    <n v="13.898499999999999"/>
    <n v="0.8227000000000011"/>
  </r>
  <r>
    <x v="391"/>
    <s v=" Proctor &amp; Wager"/>
    <x v="101"/>
    <x v="0"/>
    <x v="0"/>
    <n v="64"/>
    <n v="3.53"/>
    <n v="1.6247"/>
    <n v="0"/>
    <n v="92.468000000000004"/>
    <n v="38.321599999999997"/>
    <n v="0"/>
    <x v="255"/>
    <n v="1.9052999999999998"/>
    <n v="38.321599999999997"/>
    <n v="54.146400000000007"/>
  </r>
  <r>
    <x v="392"/>
    <s v=" Proctor &amp; Wager"/>
    <x v="101"/>
    <x v="0"/>
    <x v="2"/>
    <n v="64"/>
    <n v="0.42930000000000001"/>
    <n v="0.67159999999999997"/>
    <n v="0"/>
    <n v="9.3439999999999994"/>
    <n v="12.986599999999999"/>
    <n v="0"/>
    <x v="256"/>
    <n v="-0.24229999999999996"/>
    <n v="12.986599999999999"/>
    <n v="-3.6425999999999998"/>
  </r>
  <r>
    <x v="393"/>
    <s v=" Proctor &amp; Wager"/>
    <x v="101"/>
    <x v="0"/>
    <x v="0"/>
    <n v="64"/>
    <n v="0.48170000000000002"/>
    <n v="0"/>
    <n v="0"/>
    <n v="13.007199999999999"/>
    <n v="0"/>
    <n v="0"/>
    <x v="1"/>
    <n v="0.48170000000000002"/>
    <n v="0"/>
    <n v="13.007199999999999"/>
  </r>
  <r>
    <x v="394"/>
    <s v=" Proctor &amp; Wager"/>
    <x v="101"/>
    <x v="0"/>
    <x v="0"/>
    <n v="64"/>
    <n v="0"/>
    <n v="0"/>
    <n v="8.9800000000000005E-2"/>
    <n v="0"/>
    <n v="0"/>
    <n v="1.9842"/>
    <x v="1"/>
    <n v="0"/>
    <n v="-1.9842"/>
    <n v="0"/>
  </r>
  <r>
    <x v="395"/>
    <s v=" Proctor &amp; Wager"/>
    <x v="101"/>
    <x v="0"/>
    <x v="0"/>
    <n v="64"/>
    <n v="0"/>
    <n v="0"/>
    <n v="0.16889999999999999"/>
    <n v="0"/>
    <n v="0"/>
    <n v="4.3247"/>
    <x v="1"/>
    <n v="0"/>
    <n v="-4.3247"/>
    <n v="0"/>
  </r>
  <r>
    <x v="396"/>
    <s v=" Proctor &amp; Wager"/>
    <x v="101"/>
    <x v="0"/>
    <x v="0"/>
    <n v="64"/>
    <n v="4.2949000000000002"/>
    <n v="0.33839999999999998"/>
    <n v="0"/>
    <n v="87.926599999999993"/>
    <n v="6.2496999999999998"/>
    <n v="0"/>
    <x v="257"/>
    <n v="3.9565000000000001"/>
    <n v="6.2496999999999998"/>
    <n v="81.676899999999989"/>
  </r>
  <r>
    <x v="397"/>
    <s v=" Proctor &amp; Wager"/>
    <x v="101"/>
    <x v="0"/>
    <x v="0"/>
    <n v="64"/>
    <n v="13.5303"/>
    <n v="2.3972000000000002"/>
    <n v="0.73670000000000002"/>
    <n v="272.4522"/>
    <n v="43.2258"/>
    <n v="13.669700000000001"/>
    <x v="258"/>
    <n v="11.133100000000001"/>
    <n v="29.556100000000001"/>
    <n v="229.22640000000001"/>
  </r>
  <r>
    <x v="398"/>
    <s v=" Proctor &amp; Wager"/>
    <x v="101"/>
    <x v="0"/>
    <x v="0"/>
    <n v="64"/>
    <n v="8.9724000000000004"/>
    <n v="2.3250000000000002"/>
    <n v="9.6000000000000002E-2"/>
    <n v="202.00700000000001"/>
    <n v="55.267699999999998"/>
    <n v="2.0488"/>
    <x v="259"/>
    <n v="6.6474000000000002"/>
    <n v="53.218899999999998"/>
    <n v="146.73930000000001"/>
  </r>
  <r>
    <x v="399"/>
    <s v=" Proctor &amp; Wager"/>
    <x v="101"/>
    <x v="0"/>
    <x v="0"/>
    <n v="64"/>
    <n v="0.24310000000000001"/>
    <n v="0.1048"/>
    <n v="0"/>
    <n v="5.5039999999999996"/>
    <n v="2.3589000000000002"/>
    <n v="0"/>
    <x v="260"/>
    <n v="0.13830000000000001"/>
    <n v="2.3589000000000002"/>
    <n v="3.1450999999999993"/>
  </r>
  <r>
    <x v="400"/>
    <s v=" Proctor &amp; Wager"/>
    <x v="101"/>
    <x v="0"/>
    <x v="2"/>
    <n v="80"/>
    <n v="299.24509999999998"/>
    <n v="239.40260000000001"/>
    <n v="70.132900000000006"/>
    <n v="8505.4575000000004"/>
    <n v="6543.0663999999997"/>
    <n v="1626.3281999999999"/>
    <x v="103"/>
    <n v="59.842499999999973"/>
    <n v="4916.7381999999998"/>
    <n v="1962.3911000000007"/>
  </r>
  <r>
    <x v="401"/>
    <s v=" Proctor &amp; Wager"/>
    <x v="101"/>
    <x v="0"/>
    <x v="3"/>
    <n v="80"/>
    <n v="228.9504"/>
    <n v="220.107"/>
    <n v="99.616699999999994"/>
    <n v="6068.1558999999997"/>
    <n v="5788.4287000000004"/>
    <n v="2377.8838000000001"/>
    <x v="261"/>
    <n v="8.8434000000000026"/>
    <n v="3410.5449000000003"/>
    <n v="279.72719999999936"/>
  </r>
  <r>
    <x v="402"/>
    <s v=" Proctor &amp; Wager"/>
    <x v="101"/>
    <x v="0"/>
    <x v="2"/>
    <n v="42"/>
    <n v="0"/>
    <n v="0"/>
    <n v="4.2099999999999999E-2"/>
    <n v="0"/>
    <n v="0"/>
    <n v="0.45"/>
    <x v="1"/>
    <n v="0"/>
    <n v="-0.45"/>
    <n v="0"/>
  </r>
  <r>
    <x v="403"/>
    <s v=" Proctor &amp; Wager"/>
    <x v="101"/>
    <x v="0"/>
    <x v="2"/>
    <n v="42"/>
    <n v="0"/>
    <n v="0"/>
    <n v="0.3543"/>
    <n v="0"/>
    <n v="0"/>
    <n v="4.1279000000000003"/>
    <x v="1"/>
    <n v="0"/>
    <n v="-4.1279000000000003"/>
    <n v="0"/>
  </r>
  <r>
    <x v="404"/>
    <s v=" Proctor &amp; Wager"/>
    <x v="101"/>
    <x v="0"/>
    <x v="2"/>
    <n v="42"/>
    <n v="9.0039999999999996"/>
    <n v="27.005199999999999"/>
    <n v="7.3737000000000004"/>
    <n v="168.55369999999999"/>
    <n v="470.04379999999998"/>
    <n v="117.492"/>
    <x v="262"/>
    <n v="-18.001199999999997"/>
    <n v="352.55179999999996"/>
    <n v="-301.49009999999998"/>
  </r>
  <r>
    <x v="405"/>
    <s v=" Proctor &amp; Wager"/>
    <x v="101"/>
    <x v="0"/>
    <x v="2"/>
    <n v="42"/>
    <n v="9.5648"/>
    <n v="36.633899999999997"/>
    <n v="14.959"/>
    <n v="136.73179999999999"/>
    <n v="512.46489999999994"/>
    <n v="178.05029999999999"/>
    <x v="263"/>
    <n v="-27.069099999999999"/>
    <n v="334.41459999999995"/>
    <n v="-375.73309999999992"/>
  </r>
  <r>
    <x v="406"/>
    <s v=" Proctor &amp; Wager"/>
    <x v="101"/>
    <x v="0"/>
    <x v="0"/>
    <n v="72"/>
    <n v="0.18679999999999999"/>
    <n v="0"/>
    <n v="0"/>
    <n v="4.4957000000000003"/>
    <n v="0"/>
    <n v="0"/>
    <x v="1"/>
    <n v="0.18679999999999999"/>
    <n v="0"/>
    <n v="4.4957000000000003"/>
  </r>
  <r>
    <x v="407"/>
    <s v=" Proctor &amp; Wager"/>
    <x v="101"/>
    <x v="1"/>
    <x v="3"/>
    <n v="56"/>
    <n v="0.2319"/>
    <n v="0"/>
    <n v="0"/>
    <n v="3.4005999999999998"/>
    <n v="0"/>
    <n v="0"/>
    <x v="1"/>
    <n v="0.2319"/>
    <n v="0"/>
    <n v="3.4005999999999998"/>
  </r>
  <r>
    <x v="408"/>
    <s v=" Proctor &amp; Wager"/>
    <x v="102"/>
    <x v="0"/>
    <x v="3"/>
    <n v="56"/>
    <n v="0.2671"/>
    <n v="0"/>
    <n v="0"/>
    <n v="5.0296000000000003"/>
    <n v="0"/>
    <n v="0"/>
    <x v="1"/>
    <n v="0.2671"/>
    <n v="0"/>
    <n v="5.0296000000000003"/>
  </r>
  <r>
    <x v="409"/>
    <s v=" Proctor &amp; Wager"/>
    <x v="102"/>
    <x v="0"/>
    <x v="0"/>
    <n v="64"/>
    <n v="0.10589999999999999"/>
    <n v="1.12E-2"/>
    <n v="0"/>
    <n v="2.2591999999999999"/>
    <n v="0.2389"/>
    <n v="0"/>
    <x v="264"/>
    <n v="9.4699999999999993E-2"/>
    <n v="0.2389"/>
    <n v="2.0202999999999998"/>
  </r>
  <r>
    <x v="410"/>
    <s v=" PuigPeak"/>
    <x v="103"/>
    <x v="0"/>
    <x v="5"/>
    <n v="70"/>
    <n v="2.1598999999999999"/>
    <n v="5.1025"/>
    <n v="6.3079000000000001"/>
    <n v="36.4"/>
    <n v="77.862799999999993"/>
    <n v="91.042100000000005"/>
    <x v="265"/>
    <n v="-2.9426000000000001"/>
    <n v="-13.179300000000012"/>
    <n v="-41.462799999999994"/>
  </r>
  <r>
    <x v="411"/>
    <s v=" PuigPeak"/>
    <x v="103"/>
    <x v="0"/>
    <x v="5"/>
    <n v="70"/>
    <n v="10.1408"/>
    <n v="7.4416000000000002"/>
    <n v="2.3571"/>
    <n v="91.191500000000005"/>
    <n v="64.807599999999994"/>
    <n v="19.349299999999999"/>
    <x v="266"/>
    <n v="2.6992000000000003"/>
    <n v="45.458299999999994"/>
    <n v="26.383900000000011"/>
  </r>
  <r>
    <x v="412"/>
    <s v=" QueenTrade LTD"/>
    <x v="104"/>
    <x v="0"/>
    <x v="1"/>
    <n v="80"/>
    <n v="2.9045000000000001"/>
    <n v="0"/>
    <n v="0"/>
    <n v="116.9823"/>
    <n v="0"/>
    <n v="0"/>
    <x v="1"/>
    <n v="2.9045000000000001"/>
    <n v="0"/>
    <n v="116.9823"/>
  </r>
  <r>
    <x v="413"/>
    <s v=" QueenTrade LTD"/>
    <x v="104"/>
    <x v="0"/>
    <x v="0"/>
    <n v="80"/>
    <n v="2.9113000000000002"/>
    <n v="0"/>
    <n v="0"/>
    <n v="119.83880000000001"/>
    <n v="0"/>
    <n v="0"/>
    <x v="1"/>
    <n v="2.9113000000000002"/>
    <n v="0"/>
    <n v="119.83880000000001"/>
  </r>
  <r>
    <x v="414"/>
    <s v=" QueenTrade LTD"/>
    <x v="104"/>
    <x v="0"/>
    <x v="0"/>
    <n v="80"/>
    <n v="4.2324000000000002"/>
    <n v="0"/>
    <n v="0"/>
    <n v="171.05330000000001"/>
    <n v="0"/>
    <n v="0"/>
    <x v="1"/>
    <n v="4.2324000000000002"/>
    <n v="0"/>
    <n v="171.05330000000001"/>
  </r>
  <r>
    <x v="415"/>
    <s v=" QueenTrade LTD"/>
    <x v="104"/>
    <x v="0"/>
    <x v="1"/>
    <n v="80"/>
    <n v="2.6360000000000001"/>
    <n v="0"/>
    <n v="0"/>
    <n v="103.9999"/>
    <n v="0"/>
    <n v="0"/>
    <x v="1"/>
    <n v="2.6360000000000001"/>
    <n v="0"/>
    <n v="103.9999"/>
  </r>
  <r>
    <x v="416"/>
    <s v=" QueenTrade LTD"/>
    <x v="105"/>
    <x v="0"/>
    <x v="1"/>
    <n v="144"/>
    <n v="59.2014"/>
    <n v="82.022099999999995"/>
    <n v="31.495899999999999"/>
    <n v="4163.6220999999996"/>
    <n v="5172.0583999999999"/>
    <n v="1931.7985000000001"/>
    <x v="267"/>
    <n v="-22.820699999999995"/>
    <n v="3240.2599"/>
    <n v="-1008.4363000000003"/>
  </r>
  <r>
    <x v="417"/>
    <s v=" QueenTrade LTD"/>
    <x v="105"/>
    <x v="0"/>
    <x v="1"/>
    <n v="144"/>
    <n v="6.7272999999999996"/>
    <n v="1.7110000000000001"/>
    <n v="1.5649999999999999"/>
    <n v="473.34"/>
    <n v="112.14570000000001"/>
    <n v="108.86020000000001"/>
    <x v="268"/>
    <n v="5.0162999999999993"/>
    <n v="3.285499999999999"/>
    <n v="361.1943"/>
  </r>
  <r>
    <x v="418"/>
    <s v=" ColorSan"/>
    <x v="106"/>
    <x v="0"/>
    <x v="3"/>
    <n v="120"/>
    <n v="53.944000000000003"/>
    <n v="41.741"/>
    <n v="12.7791"/>
    <n v="3422.2186000000002"/>
    <n v="2176.2671999999998"/>
    <n v="723.71550000000002"/>
    <x v="269"/>
    <n v="12.203000000000003"/>
    <n v="1452.5516999999998"/>
    <n v="1245.9514000000004"/>
  </r>
  <r>
    <x v="419"/>
    <s v=" ColorSan"/>
    <x v="106"/>
    <x v="0"/>
    <x v="3"/>
    <n v="72"/>
    <n v="10.5024"/>
    <n v="1.2988"/>
    <n v="0.38090000000000002"/>
    <n v="626.13580000000002"/>
    <n v="67.750100000000003"/>
    <n v="17.785299999999999"/>
    <x v="270"/>
    <n v="9.2035999999999998"/>
    <n v="49.964800000000004"/>
    <n v="558.38570000000004"/>
  </r>
  <r>
    <x v="420"/>
    <s v=" ColorSan"/>
    <x v="107"/>
    <x v="0"/>
    <x v="1"/>
    <n v="102"/>
    <n v="1.4174"/>
    <n v="2.3006000000000002"/>
    <n v="0"/>
    <n v="78.384500000000003"/>
    <n v="113.29300000000001"/>
    <n v="0"/>
    <x v="271"/>
    <n v="-0.88320000000000021"/>
    <n v="113.29300000000001"/>
    <n v="-34.908500000000004"/>
  </r>
  <r>
    <x v="421"/>
    <s v=" SanHealth LTD"/>
    <x v="108"/>
    <x v="0"/>
    <x v="4"/>
    <n v="72"/>
    <n v="2.9096000000000002"/>
    <n v="6.0198"/>
    <n v="5.5109000000000004"/>
    <n v="55.366500000000002"/>
    <n v="108.4705"/>
    <n v="98.710099999999997"/>
    <x v="272"/>
    <n v="-3.1101999999999999"/>
    <n v="9.7604000000000042"/>
    <n v="-53.103999999999999"/>
  </r>
  <r>
    <x v="422"/>
    <s v=" SaproClean"/>
    <x v="109"/>
    <x v="0"/>
    <x v="1"/>
    <n v="72"/>
    <n v="0"/>
    <n v="0"/>
    <n v="9.1999999999999998E-3"/>
    <n v="0"/>
    <n v="0"/>
    <n v="0.30320000000000003"/>
    <x v="1"/>
    <n v="0"/>
    <n v="-0.30320000000000003"/>
    <n v="0"/>
  </r>
  <r>
    <x v="423"/>
    <s v=" EuroPack Communications SRL"/>
    <x v="110"/>
    <x v="0"/>
    <x v="1"/>
    <n v="60"/>
    <n v="0.35610000000000003"/>
    <n v="0"/>
    <n v="0"/>
    <n v="5.6227"/>
    <n v="0"/>
    <n v="0"/>
    <x v="1"/>
    <n v="0.35610000000000003"/>
    <n v="0"/>
    <n v="5.6227"/>
  </r>
  <r>
    <x v="424"/>
    <s v=" EuroPack Communications SRL"/>
    <x v="110"/>
    <x v="0"/>
    <x v="0"/>
    <n v="72"/>
    <n v="1.3764000000000001"/>
    <n v="2.7699999999999999E-2"/>
    <n v="0"/>
    <n v="28.943100000000001"/>
    <n v="0.64290000000000003"/>
    <n v="0"/>
    <x v="273"/>
    <n v="1.3487"/>
    <n v="0.64290000000000003"/>
    <n v="28.3002"/>
  </r>
  <r>
    <x v="425"/>
    <s v=" EuroPack Communications SRL"/>
    <x v="111"/>
    <x v="0"/>
    <x v="2"/>
    <n v="24"/>
    <n v="6.7664999999999997"/>
    <n v="0.54779999999999995"/>
    <n v="0"/>
    <n v="162.6651"/>
    <n v="12.7288"/>
    <n v="0"/>
    <x v="274"/>
    <n v="6.2187000000000001"/>
    <n v="12.7288"/>
    <n v="149.93629999999999"/>
  </r>
  <r>
    <x v="426"/>
    <s v=" EuroPack Communications SRL"/>
    <x v="111"/>
    <x v="0"/>
    <x v="2"/>
    <n v="60"/>
    <n v="14.513400000000001"/>
    <n v="11.551399999999999"/>
    <n v="8.6715"/>
    <n v="383.46769999999998"/>
    <n v="307.81580000000002"/>
    <n v="255.3304"/>
    <x v="275"/>
    <n v="2.9620000000000015"/>
    <n v="52.485400000000027"/>
    <n v="75.651899999999955"/>
  </r>
  <r>
    <x v="427"/>
    <s v=" EuroPack Communications SRL"/>
    <x v="111"/>
    <x v="0"/>
    <x v="2"/>
    <n v="60"/>
    <n v="17.654699999999998"/>
    <n v="12.539"/>
    <n v="4.6113"/>
    <n v="482.61590000000001"/>
    <n v="340.10579999999999"/>
    <n v="153.12389999999999"/>
    <x v="276"/>
    <n v="5.1156999999999986"/>
    <n v="186.9819"/>
    <n v="142.51010000000002"/>
  </r>
  <r>
    <x v="428"/>
    <s v=" EuroPack Communications SRL"/>
    <x v="112"/>
    <x v="0"/>
    <x v="0"/>
    <n v="120"/>
    <n v="20.231999999999999"/>
    <n v="11.313700000000001"/>
    <n v="0"/>
    <n v="583.67819999999995"/>
    <n v="345.19709999999998"/>
    <n v="0"/>
    <x v="277"/>
    <n v="8.9182999999999986"/>
    <n v="345.19709999999998"/>
    <n v="238.48109999999997"/>
  </r>
  <r>
    <x v="429"/>
    <s v=" SigmaKappaZeta Co."/>
    <x v="113"/>
    <x v="0"/>
    <x v="1"/>
    <n v="120"/>
    <n v="0"/>
    <n v="20.586300000000001"/>
    <n v="29.262499999999999"/>
    <n v="0"/>
    <n v="1265.0245"/>
    <n v="1657.2372"/>
    <x v="1"/>
    <n v="-20.586300000000001"/>
    <n v="-392.21270000000004"/>
    <n v="-1265.0245"/>
  </r>
  <r>
    <x v="430"/>
    <s v=" SigmaKappaZeta Co."/>
    <x v="113"/>
    <x v="0"/>
    <x v="1"/>
    <n v="72"/>
    <n v="26.3474"/>
    <n v="52.005499999999998"/>
    <n v="32.744900000000001"/>
    <n v="920.46799999999996"/>
    <n v="1819.1769999999999"/>
    <n v="1062.7058999999999"/>
    <x v="278"/>
    <n v="-25.658099999999997"/>
    <n v="756.47109999999998"/>
    <n v="-898.70899999999995"/>
  </r>
  <r>
    <x v="431"/>
    <s v=" SebaMedicines"/>
    <x v="114"/>
    <x v="0"/>
    <x v="0"/>
    <n v="72"/>
    <n v="0.1701"/>
    <n v="0.71989999999999998"/>
    <n v="4.9299999999999997E-2"/>
    <n v="1.008"/>
    <n v="3.8765000000000001"/>
    <n v="0.28799999999999998"/>
    <x v="279"/>
    <n v="-0.54979999999999996"/>
    <n v="3.5885000000000002"/>
    <n v="-2.8685"/>
  </r>
  <r>
    <x v="432"/>
    <s v=" SebaMedicines"/>
    <x v="114"/>
    <x v="1"/>
    <x v="0"/>
    <n v="70"/>
    <n v="0.8034"/>
    <n v="0.64690000000000003"/>
    <n v="0.2069"/>
    <n v="3.92"/>
    <n v="3.48"/>
    <n v="1.1399999999999999"/>
    <x v="280"/>
    <n v="0.15649999999999997"/>
    <n v="2.34"/>
    <n v="0.43999999999999995"/>
  </r>
  <r>
    <x v="433"/>
    <s v=" SignalTrade"/>
    <x v="115"/>
    <x v="0"/>
    <x v="1"/>
    <n v="72"/>
    <n v="16.393699999999999"/>
    <n v="13.5199"/>
    <n v="5.5843999999999996"/>
    <n v="841.14940000000001"/>
    <n v="693.07759999999996"/>
    <n v="305.17070000000001"/>
    <x v="281"/>
    <n v="2.8737999999999992"/>
    <n v="387.90689999999995"/>
    <n v="148.07180000000005"/>
  </r>
  <r>
    <x v="434"/>
    <s v=" SignalTrade"/>
    <x v="115"/>
    <x v="0"/>
    <x v="1"/>
    <n v="72"/>
    <n v="2.1175000000000002"/>
    <n v="0.66620000000000001"/>
    <n v="0"/>
    <n v="137.34479999999999"/>
    <n v="41.348700000000001"/>
    <n v="0"/>
    <x v="282"/>
    <n v="1.4513000000000003"/>
    <n v="41.348700000000001"/>
    <n v="95.996099999999984"/>
  </r>
  <r>
    <x v="435"/>
    <s v=" SepaTextiles"/>
    <x v="116"/>
    <x v="0"/>
    <x v="1"/>
    <n v="120"/>
    <n v="1.9984999999999999"/>
    <n v="3.2300000000000002E-2"/>
    <n v="0"/>
    <n v="141.71469999999999"/>
    <n v="1.9971000000000001"/>
    <n v="0"/>
    <x v="283"/>
    <n v="1.9661999999999999"/>
    <n v="1.9971000000000001"/>
    <n v="139.7176"/>
  </r>
  <r>
    <x v="436"/>
    <s v=" SepaTextiles"/>
    <x v="117"/>
    <x v="0"/>
    <x v="2"/>
    <n v="100"/>
    <n v="136.17420000000001"/>
    <n v="152.24180000000001"/>
    <n v="70.924899999999994"/>
    <n v="7155.8876"/>
    <n v="7606.2596000000003"/>
    <n v="3236.7058000000002"/>
    <x v="284"/>
    <n v="-16.067599999999999"/>
    <n v="4369.5537999999997"/>
    <n v="-450.3720000000003"/>
  </r>
  <r>
    <x v="437"/>
    <s v=" SepaTextiles"/>
    <x v="117"/>
    <x v="0"/>
    <x v="1"/>
    <n v="120"/>
    <n v="166.38550000000001"/>
    <n v="154.19909999999999"/>
    <n v="78.409199999999998"/>
    <n v="8805.9477000000006"/>
    <n v="8032.0802000000003"/>
    <n v="3983.7687000000001"/>
    <x v="285"/>
    <n v="12.18640000000002"/>
    <n v="4048.3115000000003"/>
    <n v="773.86750000000029"/>
  </r>
  <r>
    <x v="438"/>
    <s v=" SepaTextiles"/>
    <x v="117"/>
    <x v="0"/>
    <x v="1"/>
    <n v="72"/>
    <n v="7.4499999999999997E-2"/>
    <n v="0"/>
    <n v="0"/>
    <n v="5.2851999999999997"/>
    <n v="0"/>
    <n v="0"/>
    <x v="1"/>
    <n v="7.4499999999999997E-2"/>
    <n v="0"/>
    <n v="5.2851999999999997"/>
  </r>
  <r>
    <x v="439"/>
    <s v=" SepaTextiles"/>
    <x v="117"/>
    <x v="0"/>
    <x v="0"/>
    <n v="72"/>
    <n v="4.2912999999999997"/>
    <n v="3.2158000000000002"/>
    <n v="0.39529999999999998"/>
    <n v="253.55109999999999"/>
    <n v="179.24690000000001"/>
    <n v="19.092600000000001"/>
    <x v="286"/>
    <n v="1.0754999999999995"/>
    <n v="160.15430000000001"/>
    <n v="74.30419999999998"/>
  </r>
  <r>
    <x v="440"/>
    <s v=" SepaTextiles"/>
    <x v="118"/>
    <x v="0"/>
    <x v="3"/>
    <n v="120"/>
    <n v="12.5473"/>
    <n v="21.5989"/>
    <n v="10.3498"/>
    <n v="734.85479999999995"/>
    <n v="1234.4389000000001"/>
    <n v="587.04769999999996"/>
    <x v="287"/>
    <n v="-9.0516000000000005"/>
    <n v="647.39120000000014"/>
    <n v="-499.58410000000015"/>
  </r>
  <r>
    <x v="441"/>
    <s v=" SepaTextiles"/>
    <x v="118"/>
    <x v="0"/>
    <x v="3"/>
    <n v="70"/>
    <n v="0.68669999999999998"/>
    <n v="0"/>
    <n v="0"/>
    <n v="52.465899999999998"/>
    <n v="0"/>
    <n v="0"/>
    <x v="1"/>
    <n v="0.68669999999999998"/>
    <n v="0"/>
    <n v="52.465899999999998"/>
  </r>
  <r>
    <x v="442"/>
    <s v=" SepaTextiles"/>
    <x v="118"/>
    <x v="0"/>
    <x v="3"/>
    <n v="72"/>
    <n v="37.213999999999999"/>
    <n v="7.2126999999999999"/>
    <n v="0"/>
    <n v="2501.2190000000001"/>
    <n v="451.55340000000001"/>
    <n v="0"/>
    <x v="288"/>
    <n v="30.001300000000001"/>
    <n v="451.55340000000001"/>
    <n v="2049.6656000000003"/>
  </r>
  <r>
    <x v="443"/>
    <s v=" SepaTextiles"/>
    <x v="118"/>
    <x v="0"/>
    <x v="3"/>
    <n v="90"/>
    <n v="2.7111999999999998"/>
    <n v="0"/>
    <n v="0"/>
    <n v="136.8194"/>
    <n v="0"/>
    <n v="0"/>
    <x v="1"/>
    <n v="2.7111999999999998"/>
    <n v="0"/>
    <n v="136.8194"/>
  </r>
  <r>
    <x v="444"/>
    <s v=" SepaTextiles"/>
    <x v="119"/>
    <x v="0"/>
    <x v="3"/>
    <n v="70"/>
    <n v="0"/>
    <n v="19.032699999999998"/>
    <n v="19.713699999999999"/>
    <n v="0"/>
    <n v="1111.0531000000001"/>
    <n v="1063.3096"/>
    <x v="1"/>
    <n v="-19.032699999999998"/>
    <n v="47.74350000000004"/>
    <n v="-1111.0531000000001"/>
  </r>
  <r>
    <x v="445"/>
    <s v=" SepaTextiles"/>
    <x v="120"/>
    <x v="0"/>
    <x v="2"/>
    <n v="100"/>
    <n v="1.0042"/>
    <n v="0"/>
    <n v="0"/>
    <n v="76.638000000000005"/>
    <n v="0"/>
    <n v="0"/>
    <x v="1"/>
    <n v="1.0042"/>
    <n v="0"/>
    <n v="76.638000000000005"/>
  </r>
  <r>
    <x v="446"/>
    <s v=" SepaTextiles"/>
    <x v="120"/>
    <x v="0"/>
    <x v="1"/>
    <n v="120"/>
    <n v="251.465"/>
    <n v="145.75579999999999"/>
    <n v="77.822699999999998"/>
    <n v="15122.0514"/>
    <n v="8717.0684000000001"/>
    <n v="4462.7493999999997"/>
    <x v="289"/>
    <n v="105.70920000000001"/>
    <n v="4254.3190000000004"/>
    <n v="6404.9830000000002"/>
  </r>
  <r>
    <x v="447"/>
    <s v=" SepaTextiles"/>
    <x v="120"/>
    <x v="0"/>
    <x v="2"/>
    <n v="144"/>
    <n v="15.856"/>
    <n v="22.015000000000001"/>
    <n v="3.4060000000000001"/>
    <n v="1023.9475"/>
    <n v="1391.8684000000001"/>
    <n v="229.50649999999999"/>
    <x v="290"/>
    <n v="-6.1590000000000007"/>
    <n v="1162.3619000000001"/>
    <n v="-367.92090000000007"/>
  </r>
  <r>
    <x v="448"/>
    <s v=" SepaTextiles"/>
    <x v="120"/>
    <x v="0"/>
    <x v="1"/>
    <n v="60"/>
    <n v="0"/>
    <n v="0"/>
    <n v="0.28920000000000001"/>
    <n v="0"/>
    <n v="0"/>
    <n v="17.3521"/>
    <x v="1"/>
    <n v="0"/>
    <n v="-17.3521"/>
    <n v="0"/>
  </r>
  <r>
    <x v="449"/>
    <s v=" SepaTextiles"/>
    <x v="120"/>
    <x v="0"/>
    <x v="1"/>
    <n v="72"/>
    <n v="2.5535999999999999"/>
    <n v="3.8500999999999999"/>
    <n v="0.82650000000000001"/>
    <n v="126.3817"/>
    <n v="174.249"/>
    <n v="46.762"/>
    <x v="291"/>
    <n v="-1.2965"/>
    <n v="127.48699999999999"/>
    <n v="-47.8673"/>
  </r>
  <r>
    <x v="450"/>
    <s v=" SepaTextiles"/>
    <x v="120"/>
    <x v="0"/>
    <x v="1"/>
    <n v="72"/>
    <n v="0"/>
    <n v="0.25659999999999999"/>
    <n v="0"/>
    <n v="0"/>
    <n v="13.196899999999999"/>
    <n v="0"/>
    <x v="1"/>
    <n v="-0.25659999999999999"/>
    <n v="13.196899999999999"/>
    <n v="-13.196899999999999"/>
  </r>
  <r>
    <x v="451"/>
    <s v=" SeptOn SA"/>
    <x v="121"/>
    <x v="0"/>
    <x v="2"/>
    <n v="12"/>
    <n v="0"/>
    <n v="0.5504"/>
    <n v="0.74670000000000003"/>
    <n v="0"/>
    <n v="6.7556000000000003"/>
    <n v="9.0073000000000008"/>
    <x v="1"/>
    <n v="-0.5504"/>
    <n v="-2.2517000000000005"/>
    <n v="-6.7556000000000003"/>
  </r>
  <r>
    <x v="452"/>
    <s v=" SeptOn SA"/>
    <x v="121"/>
    <x v="0"/>
    <x v="2"/>
    <n v="20"/>
    <n v="4.7511999999999999"/>
    <n v="3.7549000000000001"/>
    <n v="1.1405000000000001"/>
    <n v="70.328999999999994"/>
    <n v="55.465600000000002"/>
    <n v="16.475899999999999"/>
    <x v="292"/>
    <n v="0.99629999999999974"/>
    <n v="38.989699999999999"/>
    <n v="14.863399999999992"/>
  </r>
  <r>
    <x v="453"/>
    <s v=" SeptOn SA"/>
    <x v="121"/>
    <x v="0"/>
    <x v="0"/>
    <n v="20"/>
    <n v="1.23E-2"/>
    <n v="2.7799999999999998E-2"/>
    <n v="0"/>
    <n v="0.18"/>
    <n v="0.46179999999999999"/>
    <n v="0"/>
    <x v="293"/>
    <n v="-1.5499999999999998E-2"/>
    <n v="0.46179999999999999"/>
    <n v="-0.28179999999999999"/>
  </r>
  <r>
    <x v="454"/>
    <s v=" SeptOn SA"/>
    <x v="121"/>
    <x v="0"/>
    <x v="3"/>
    <n v="20"/>
    <n v="11.1968"/>
    <n v="6.3734000000000002"/>
    <n v="1.3038000000000001"/>
    <n v="170.3914"/>
    <n v="94.576999999999998"/>
    <n v="19.252400000000002"/>
    <x v="294"/>
    <n v="4.8233999999999995"/>
    <n v="75.324600000000004"/>
    <n v="75.814400000000006"/>
  </r>
  <r>
    <x v="455"/>
    <s v=" SeptOn SA"/>
    <x v="121"/>
    <x v="0"/>
    <x v="3"/>
    <n v="54"/>
    <n v="0"/>
    <n v="0.89970000000000006"/>
    <n v="2.4813999999999998"/>
    <n v="0"/>
    <n v="21.057300000000001"/>
    <n v="55.505499999999998"/>
    <x v="1"/>
    <n v="-0.89970000000000006"/>
    <n v="-34.4482"/>
    <n v="-21.057300000000001"/>
  </r>
  <r>
    <x v="456"/>
    <s v=" SeptOn SA"/>
    <x v="121"/>
    <x v="0"/>
    <x v="2"/>
    <n v="57"/>
    <n v="2.3999999999999998E-3"/>
    <n v="0"/>
    <n v="0"/>
    <n v="5.7000000000000002E-2"/>
    <n v="0"/>
    <n v="0"/>
    <x v="1"/>
    <n v="2.3999999999999998E-3"/>
    <n v="0"/>
    <n v="5.7000000000000002E-2"/>
  </r>
  <r>
    <x v="457"/>
    <s v=" SeptOn SA"/>
    <x v="121"/>
    <x v="0"/>
    <x v="0"/>
    <n v="64"/>
    <n v="0.22650000000000001"/>
    <n v="0"/>
    <n v="0"/>
    <n v="7.2465999999999999"/>
    <n v="0"/>
    <n v="0"/>
    <x v="1"/>
    <n v="0.22650000000000001"/>
    <n v="0"/>
    <n v="7.2465999999999999"/>
  </r>
  <r>
    <x v="458"/>
    <s v=" SeptOn SA"/>
    <x v="121"/>
    <x v="0"/>
    <x v="1"/>
    <n v="64"/>
    <n v="0.74809999999999999"/>
    <n v="0"/>
    <n v="0"/>
    <n v="25.650500000000001"/>
    <n v="0"/>
    <n v="0"/>
    <x v="1"/>
    <n v="0.74809999999999999"/>
    <n v="0"/>
    <n v="25.650500000000001"/>
  </r>
  <r>
    <x v="459"/>
    <s v=" SeptOn SA"/>
    <x v="121"/>
    <x v="0"/>
    <x v="1"/>
    <n v="64"/>
    <n v="7.1352000000000002"/>
    <n v="0.98229999999999995"/>
    <n v="0.17499999999999999"/>
    <n v="199.79089999999999"/>
    <n v="31.398199999999999"/>
    <n v="5.5553999999999997"/>
    <x v="295"/>
    <n v="6.1529000000000007"/>
    <n v="25.8428"/>
    <n v="168.39269999999999"/>
  </r>
  <r>
    <x v="460"/>
    <s v=" SeptOn SA"/>
    <x v="121"/>
    <x v="0"/>
    <x v="1"/>
    <n v="64"/>
    <n v="38.636499999999998"/>
    <n v="25.403500000000001"/>
    <n v="9.4920000000000009"/>
    <n v="1064.7156"/>
    <n v="712.85350000000005"/>
    <n v="244.268"/>
    <x v="296"/>
    <n v="13.232999999999997"/>
    <n v="468.58550000000002"/>
    <n v="351.86209999999994"/>
  </r>
  <r>
    <x v="461"/>
    <s v=" SeptOn SA"/>
    <x v="121"/>
    <x v="0"/>
    <x v="3"/>
    <n v="64"/>
    <n v="3.0739999999999998"/>
    <n v="0.314"/>
    <n v="6.4199999999999993E-2"/>
    <n v="79.571700000000007"/>
    <n v="7.3994999999999997"/>
    <n v="1.5809"/>
    <x v="297"/>
    <n v="2.76"/>
    <n v="5.8186"/>
    <n v="72.172200000000004"/>
  </r>
  <r>
    <x v="462"/>
    <s v=" SeptOn SA"/>
    <x v="121"/>
    <x v="0"/>
    <x v="3"/>
    <n v="64"/>
    <n v="57.373899999999999"/>
    <n v="28.978999999999999"/>
    <n v="4.5244999999999997"/>
    <n v="1605.2121"/>
    <n v="798.29169999999999"/>
    <n v="128.11799999999999"/>
    <x v="298"/>
    <n v="28.3949"/>
    <n v="670.17370000000005"/>
    <n v="806.92039999999997"/>
  </r>
  <r>
    <x v="463"/>
    <s v=" SeptOn SA"/>
    <x v="121"/>
    <x v="0"/>
    <x v="2"/>
    <n v="72"/>
    <n v="0.84319999999999995"/>
    <n v="0"/>
    <n v="0"/>
    <n v="38.896500000000003"/>
    <n v="0"/>
    <n v="0"/>
    <x v="1"/>
    <n v="0.84319999999999995"/>
    <n v="0"/>
    <n v="38.896500000000003"/>
  </r>
  <r>
    <x v="464"/>
    <s v=" SeptOn SA"/>
    <x v="121"/>
    <x v="0"/>
    <x v="2"/>
    <n v="75"/>
    <n v="0.32700000000000001"/>
    <n v="7.9399999999999998E-2"/>
    <n v="0"/>
    <n v="8.1380999999999997"/>
    <n v="2.0009000000000001"/>
    <n v="0"/>
    <x v="299"/>
    <n v="0.24760000000000001"/>
    <n v="2.0009000000000001"/>
    <n v="6.1372"/>
  </r>
  <r>
    <x v="465"/>
    <s v=" SeptOn SA"/>
    <x v="121"/>
    <x v="0"/>
    <x v="2"/>
    <n v="80"/>
    <n v="30.607399999999998"/>
    <n v="87.617999999999995"/>
    <n v="25.586099999999998"/>
    <n v="1468.2443000000001"/>
    <n v="4062.0709999999999"/>
    <n v="1119.9051999999999"/>
    <x v="300"/>
    <n v="-57.010599999999997"/>
    <n v="2942.1657999999998"/>
    <n v="-2593.8266999999996"/>
  </r>
  <r>
    <x v="466"/>
    <s v=" LovelyCo"/>
    <x v="122"/>
    <x v="0"/>
    <x v="1"/>
    <n v="72"/>
    <n v="0.26200000000000001"/>
    <n v="0.1656"/>
    <n v="0"/>
    <n v="18.860299999999999"/>
    <n v="11.920500000000001"/>
    <n v="0"/>
    <x v="301"/>
    <n v="9.6400000000000013E-2"/>
    <n v="11.920500000000001"/>
    <n v="6.9397999999999982"/>
  </r>
  <r>
    <x v="467"/>
    <s v=" LovelyCo"/>
    <x v="123"/>
    <x v="0"/>
    <x v="3"/>
    <n v="120"/>
    <n v="8.2482000000000006"/>
    <n v="0.97330000000000005"/>
    <n v="0"/>
    <n v="505.78250000000003"/>
    <n v="58.400799999999997"/>
    <n v="0"/>
    <x v="302"/>
    <n v="7.2749000000000006"/>
    <n v="58.400799999999997"/>
    <n v="447.38170000000002"/>
  </r>
  <r>
    <x v="468"/>
    <s v=" LovelyCo"/>
    <x v="124"/>
    <x v="0"/>
    <x v="2"/>
    <n v="120"/>
    <n v="5.7763"/>
    <n v="9.2917000000000005"/>
    <n v="0.95250000000000001"/>
    <n v="311.05720000000002"/>
    <n v="539.97619999999995"/>
    <n v="61.781700000000001"/>
    <x v="303"/>
    <n v="-3.5154000000000005"/>
    <n v="478.19449999999995"/>
    <n v="-228.91899999999993"/>
  </r>
  <r>
    <x v="469"/>
    <s v=" LovelyCo"/>
    <x v="125"/>
    <x v="0"/>
    <x v="1"/>
    <n v="100"/>
    <n v="55.7286"/>
    <n v="53.311300000000003"/>
    <n v="19.850100000000001"/>
    <n v="3644.6801999999998"/>
    <n v="3675.9913999999999"/>
    <n v="1253.7541000000001"/>
    <x v="304"/>
    <n v="2.4172999999999973"/>
    <n v="2422.2372999999998"/>
    <n v="-31.311200000000099"/>
  </r>
  <r>
    <x v="470"/>
    <s v=" LovelyCo"/>
    <x v="125"/>
    <x v="0"/>
    <x v="2"/>
    <n v="120"/>
    <n v="0"/>
    <n v="4.4955999999999996"/>
    <n v="0"/>
    <n v="0"/>
    <n v="365.2654"/>
    <n v="0"/>
    <x v="1"/>
    <n v="-4.4955999999999996"/>
    <n v="365.2654"/>
    <n v="-365.2654"/>
  </r>
  <r>
    <x v="471"/>
    <s v=" LovelyCo"/>
    <x v="125"/>
    <x v="0"/>
    <x v="1"/>
    <n v="70"/>
    <n v="5.5199999999999999E-2"/>
    <n v="0"/>
    <n v="0"/>
    <n v="3.36"/>
    <n v="0"/>
    <n v="0"/>
    <x v="1"/>
    <n v="5.5199999999999999E-2"/>
    <n v="0"/>
    <n v="3.36"/>
  </r>
  <r>
    <x v="472"/>
    <s v=" LovelyCo"/>
    <x v="126"/>
    <x v="0"/>
    <x v="1"/>
    <n v="120"/>
    <n v="5.3959999999999999"/>
    <n v="7.0095999999999998"/>
    <n v="3.0608"/>
    <n v="290.08819999999997"/>
    <n v="393.84969999999998"/>
    <n v="158.0343"/>
    <x v="305"/>
    <n v="-1.6135999999999999"/>
    <n v="235.81539999999998"/>
    <n v="-103.76150000000001"/>
  </r>
  <r>
    <x v="473"/>
    <s v=" LovelyCo"/>
    <x v="126"/>
    <x v="0"/>
    <x v="2"/>
    <n v="130"/>
    <n v="39.775100000000002"/>
    <n v="29.160399999999999"/>
    <n v="6.0876999999999999"/>
    <n v="2342.4566"/>
    <n v="1534.7882999999999"/>
    <n v="287.5865"/>
    <x v="306"/>
    <n v="10.614700000000003"/>
    <n v="1247.2017999999998"/>
    <n v="807.66830000000004"/>
  </r>
  <r>
    <x v="474"/>
    <s v=" LovelyCo"/>
    <x v="126"/>
    <x v="0"/>
    <x v="1"/>
    <n v="72"/>
    <n v="73.361099999999993"/>
    <n v="57.603700000000003"/>
    <n v="12.2355"/>
    <n v="4307.2969000000003"/>
    <n v="3235.6705999999999"/>
    <n v="650.06870000000004"/>
    <x v="307"/>
    <n v="15.75739999999999"/>
    <n v="2585.6018999999997"/>
    <n v="1071.6263000000004"/>
  </r>
  <r>
    <x v="475"/>
    <s v=" LovelyCo"/>
    <x v="126"/>
    <x v="0"/>
    <x v="1"/>
    <n v="72"/>
    <n v="7.6637000000000004"/>
    <n v="5.7187999999999999"/>
    <n v="3.4293999999999998"/>
    <n v="412.75630000000001"/>
    <n v="314.68810000000002"/>
    <n v="185.42320000000001"/>
    <x v="308"/>
    <n v="1.9449000000000005"/>
    <n v="129.26490000000001"/>
    <n v="98.06819999999999"/>
  </r>
  <r>
    <x v="476"/>
    <s v=" LovelyCo"/>
    <x v="126"/>
    <x v="0"/>
    <x v="1"/>
    <n v="72"/>
    <n v="97.800700000000006"/>
    <n v="61.680799999999998"/>
    <n v="23.825800000000001"/>
    <n v="4426.3535000000002"/>
    <n v="2861.6763999999998"/>
    <n v="975.65369999999996"/>
    <x v="309"/>
    <n v="36.119900000000008"/>
    <n v="1886.0227"/>
    <n v="1564.6771000000003"/>
  </r>
  <r>
    <x v="477"/>
    <s v=" LovelyCo"/>
    <x v="126"/>
    <x v="0"/>
    <x v="1"/>
    <n v="80"/>
    <n v="137.74010000000001"/>
    <n v="71.2029"/>
    <n v="36.735799999999998"/>
    <n v="9592.0316999999995"/>
    <n v="4713.7775000000001"/>
    <n v="2155.8667"/>
    <x v="310"/>
    <n v="66.537200000000013"/>
    <n v="2557.9108000000001"/>
    <n v="4878.2541999999994"/>
  </r>
  <r>
    <x v="478"/>
    <s v=" LovelyCo"/>
    <x v="126"/>
    <x v="0"/>
    <x v="2"/>
    <n v="80"/>
    <n v="34.508099999999999"/>
    <n v="21.348800000000001"/>
    <n v="13.753299999999999"/>
    <n v="2073.3334"/>
    <n v="1342.2397000000001"/>
    <n v="736.28099999999995"/>
    <x v="311"/>
    <n v="13.159299999999998"/>
    <n v="605.95870000000014"/>
    <n v="731.0936999999999"/>
  </r>
  <r>
    <x v="479"/>
    <s v=" LovelyCo"/>
    <x v="127"/>
    <x v="0"/>
    <x v="1"/>
    <n v="72"/>
    <n v="0"/>
    <n v="3.1300000000000001E-2"/>
    <n v="0"/>
    <n v="0"/>
    <n v="1.2579"/>
    <n v="0"/>
    <x v="1"/>
    <n v="-3.1300000000000001E-2"/>
    <n v="1.2579"/>
    <n v="-1.2579"/>
  </r>
  <r>
    <x v="480"/>
    <s v=" Quake S.P.A."/>
    <x v="128"/>
    <x v="0"/>
    <x v="3"/>
    <n v="60"/>
    <n v="7.7399999999999997E-2"/>
    <n v="0.20100000000000001"/>
    <n v="1.1599999999999999E-2"/>
    <n v="1.2943"/>
    <n v="3.8485999999999998"/>
    <n v="0.1971"/>
    <x v="312"/>
    <n v="-0.12360000000000002"/>
    <n v="3.6515"/>
    <n v="-2.5542999999999996"/>
  </r>
  <r>
    <x v="481"/>
    <s v=" Quake S.P.A."/>
    <x v="128"/>
    <x v="0"/>
    <x v="1"/>
    <n v="72"/>
    <n v="6.8400000000000002E-2"/>
    <n v="9.8500000000000004E-2"/>
    <n v="3.8800000000000001E-2"/>
    <n v="1.5943000000000001"/>
    <n v="2.7256999999999998"/>
    <n v="0.93600000000000005"/>
    <x v="313"/>
    <n v="-3.0100000000000002E-2"/>
    <n v="1.7896999999999998"/>
    <n v="-1.1313999999999997"/>
  </r>
  <r>
    <x v="482"/>
    <s v=" HappyBeauty A.S."/>
    <x v="129"/>
    <x v="0"/>
    <x v="1"/>
    <n v="100"/>
    <n v="1.2095"/>
    <n v="0"/>
    <n v="0"/>
    <n v="58.601599999999998"/>
    <n v="0"/>
    <n v="0"/>
    <x v="1"/>
    <n v="1.2095"/>
    <n v="0"/>
    <n v="58.601599999999998"/>
  </r>
  <r>
    <x v="483"/>
    <s v=" HappyBeauty A.S."/>
    <x v="129"/>
    <x v="0"/>
    <x v="1"/>
    <n v="120"/>
    <n v="3.4049"/>
    <n v="0"/>
    <n v="0"/>
    <n v="181.5942"/>
    <n v="0"/>
    <n v="0"/>
    <x v="1"/>
    <n v="3.4049"/>
    <n v="0"/>
    <n v="181.5942"/>
  </r>
  <r>
    <x v="484"/>
    <s v=" HappyBeauty A.S."/>
    <x v="129"/>
    <x v="0"/>
    <x v="1"/>
    <n v="72"/>
    <n v="0.27539999999999998"/>
    <n v="0"/>
    <n v="0"/>
    <n v="11.6632"/>
    <n v="0"/>
    <n v="0"/>
    <x v="1"/>
    <n v="0.27539999999999998"/>
    <n v="0"/>
    <n v="11.6632"/>
  </r>
  <r>
    <x v="485"/>
    <s v=" HappyBeauty A.S."/>
    <x v="129"/>
    <x v="0"/>
    <x v="1"/>
    <n v="72"/>
    <n v="0.36249999999999999"/>
    <n v="0"/>
    <n v="0"/>
    <n v="17.400500000000001"/>
    <n v="0"/>
    <n v="0"/>
    <x v="1"/>
    <n v="0.36249999999999999"/>
    <n v="0"/>
    <n v="17.400500000000001"/>
  </r>
  <r>
    <x v="486"/>
    <s v=" QueenStand Investment"/>
    <x v="130"/>
    <x v="0"/>
    <x v="1"/>
    <n v="120"/>
    <n v="0"/>
    <n v="0"/>
    <n v="3.1633"/>
    <n v="0"/>
    <n v="0"/>
    <n v="171.71680000000001"/>
    <x v="1"/>
    <n v="0"/>
    <n v="-171.71680000000001"/>
    <n v="0"/>
  </r>
  <r>
    <x v="487"/>
    <s v=" BladeSon LTD"/>
    <x v="131"/>
    <x v="0"/>
    <x v="1"/>
    <n v="120"/>
    <n v="0"/>
    <n v="10.313499999999999"/>
    <n v="10.635400000000001"/>
    <n v="0"/>
    <n v="475.9119"/>
    <n v="461.80500000000001"/>
    <x v="1"/>
    <n v="-10.313499999999999"/>
    <n v="14.106899999999996"/>
    <n v="-475.9119"/>
  </r>
  <r>
    <x v="488"/>
    <s v=" BladeSon LTD"/>
    <x v="131"/>
    <x v="0"/>
    <x v="1"/>
    <n v="72"/>
    <n v="54.988799999999998"/>
    <n v="32.909799999999997"/>
    <n v="13.822900000000001"/>
    <n v="1994.8981000000001"/>
    <n v="1164.6792"/>
    <n v="463.84859999999998"/>
    <x v="192"/>
    <n v="22.079000000000001"/>
    <n v="700.8306"/>
    <n v="830.21890000000008"/>
  </r>
  <r>
    <x v="489"/>
    <s v=" BladeSon LTD"/>
    <x v="132"/>
    <x v="0"/>
    <x v="1"/>
    <n v="72"/>
    <n v="0.1076"/>
    <n v="0.1249"/>
    <n v="7.1900000000000006E-2"/>
    <n v="5.5374999999999996"/>
    <n v="6.4203000000000001"/>
    <n v="3.698"/>
    <x v="314"/>
    <n v="-1.7299999999999996E-2"/>
    <n v="2.7223000000000002"/>
    <n v="-0.88280000000000047"/>
  </r>
  <r>
    <x v="490"/>
    <s v=" TahaChem Cosmetics"/>
    <x v="133"/>
    <x v="0"/>
    <x v="2"/>
    <n v="60"/>
    <n v="0.30349999999999999"/>
    <n v="7.7100000000000002E-2"/>
    <n v="0"/>
    <n v="10.7111"/>
    <n v="2.9864999999999999"/>
    <n v="0"/>
    <x v="315"/>
    <n v="0.22639999999999999"/>
    <n v="2.9864999999999999"/>
    <n v="7.7246000000000006"/>
  </r>
  <r>
    <x v="491"/>
    <s v=" TahaChem Cosmetics"/>
    <x v="133"/>
    <x v="0"/>
    <x v="2"/>
    <n v="72"/>
    <n v="34.620800000000003"/>
    <n v="13.6218"/>
    <n v="2.1793999999999998"/>
    <n v="2351.0409"/>
    <n v="917.37919999999997"/>
    <n v="151.65029999999999"/>
    <x v="316"/>
    <n v="20.999000000000002"/>
    <n v="765.72889999999995"/>
    <n v="1433.6617000000001"/>
  </r>
  <r>
    <x v="492"/>
    <s v=" TextileSan"/>
    <x v="134"/>
    <x v="0"/>
    <x v="0"/>
    <n v="120"/>
    <n v="0"/>
    <n v="0"/>
    <n v="1.9407000000000001"/>
    <n v="0"/>
    <n v="0"/>
    <n v="110.1146"/>
    <x v="1"/>
    <n v="0"/>
    <n v="-110.1146"/>
    <n v="0"/>
  </r>
  <r>
    <x v="493"/>
    <s v=" FoodTNCR"/>
    <x v="135"/>
    <x v="0"/>
    <x v="1"/>
    <n v="72"/>
    <n v="2.0785999999999998"/>
    <n v="7.1199999999999999E-2"/>
    <n v="0"/>
    <n v="104.04649999999999"/>
    <n v="3.8216000000000001"/>
    <n v="0"/>
    <x v="317"/>
    <n v="2.0073999999999996"/>
    <n v="3.8216000000000001"/>
    <n v="100.22489999999999"/>
  </r>
  <r>
    <x v="494"/>
    <s v=" TroyBeauty Trade"/>
    <x v="136"/>
    <x v="0"/>
    <x v="2"/>
    <n v="120"/>
    <n v="0"/>
    <n v="0"/>
    <n v="0.1532"/>
    <n v="0"/>
    <n v="0"/>
    <n v="9.1946999999999992"/>
    <x v="1"/>
    <n v="0"/>
    <n v="-9.1946999999999992"/>
    <n v="0"/>
  </r>
  <r>
    <x v="495"/>
    <s v=" TroyBeauty Trade"/>
    <x v="137"/>
    <x v="0"/>
    <x v="2"/>
    <n v="72"/>
    <n v="0"/>
    <n v="2.8000000000000001E-2"/>
    <n v="14.061199999999999"/>
    <n v="0"/>
    <n v="1.8513999999999999"/>
    <n v="850.57989999999995"/>
    <x v="1"/>
    <n v="-2.8000000000000001E-2"/>
    <n v="-848.72849999999994"/>
    <n v="-1.8513999999999999"/>
  </r>
  <r>
    <x v="496"/>
    <s v=" TroyBeauty Trade"/>
    <x v="137"/>
    <x v="0"/>
    <x v="2"/>
    <n v="72"/>
    <n v="0"/>
    <n v="3.1899999999999998E-2"/>
    <n v="8.1054999999999993"/>
    <n v="0"/>
    <n v="2.1086"/>
    <n v="502.96"/>
    <x v="1"/>
    <n v="-3.1899999999999998E-2"/>
    <n v="-500.85139999999996"/>
    <n v="-2.1086"/>
  </r>
  <r>
    <x v="497"/>
    <s v=" Unac Beauty Makers SAN."/>
    <x v="138"/>
    <x v="0"/>
    <x v="2"/>
    <n v="120"/>
    <n v="25.839099999999998"/>
    <n v="9.0121000000000002"/>
    <n v="10.0204"/>
    <n v="1539.4739"/>
    <n v="509.45670000000001"/>
    <n v="585.52229999999997"/>
    <x v="318"/>
    <n v="16.826999999999998"/>
    <n v="-76.065599999999961"/>
    <n v="1030.0172"/>
  </r>
  <r>
    <x v="498"/>
    <s v=" UniHandle"/>
    <x v="139"/>
    <x v="0"/>
    <x v="5"/>
    <n v="50"/>
    <n v="9.0969999999999995"/>
    <n v="13.0891"/>
    <n v="4.6460999999999997"/>
    <n v="134.3818"/>
    <n v="186.4109"/>
    <n v="56.316099999999999"/>
    <x v="319"/>
    <n v="-3.9921000000000006"/>
    <n v="130.09479999999999"/>
    <n v="-52.0291"/>
  </r>
  <r>
    <x v="499"/>
    <s v=" UniHandle"/>
    <x v="139"/>
    <x v="0"/>
    <x v="3"/>
    <n v="50"/>
    <n v="10.3986"/>
    <n v="26.6724"/>
    <n v="21.6234"/>
    <n v="151.6679"/>
    <n v="465.6979"/>
    <n v="443.52179999999998"/>
    <x v="320"/>
    <n v="-16.273800000000001"/>
    <n v="22.176100000000019"/>
    <n v="-314.02999999999997"/>
  </r>
  <r>
    <x v="500"/>
    <s v=" GreenIlgaz Group"/>
    <x v="135"/>
    <x v="0"/>
    <x v="1"/>
    <n v="72"/>
    <n v="1.8396999999999999"/>
    <n v="4.3616000000000001"/>
    <n v="0"/>
    <n v="115.49760000000001"/>
    <n v="300.46589999999998"/>
    <n v="0"/>
    <x v="321"/>
    <n v="-2.5219000000000005"/>
    <n v="300.46589999999998"/>
    <n v="-184.96829999999997"/>
  </r>
  <r>
    <x v="501"/>
    <m/>
    <x v="140"/>
    <x v="2"/>
    <x v="6"/>
    <m/>
    <m/>
    <m/>
    <m/>
    <m/>
    <m/>
    <m/>
    <x v="32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241EE4-6A59-4F73-9D71-3E5726008BE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B144" firstHeaderRow="1" firstDataRow="1" firstDataCol="1"/>
  <pivotFields count="14">
    <pivotField showAll="0"/>
    <pivotField showAll="0"/>
    <pivotField axis="axisRow" showAll="0">
      <items count="142">
        <item x="131"/>
        <item x="23"/>
        <item x="116"/>
        <item x="24"/>
        <item x="77"/>
        <item x="2"/>
        <item x="78"/>
        <item x="21"/>
        <item x="0"/>
        <item x="18"/>
        <item x="1"/>
        <item x="135"/>
        <item x="94"/>
        <item x="106"/>
        <item x="39"/>
        <item x="97"/>
        <item x="80"/>
        <item x="104"/>
        <item x="57"/>
        <item x="133"/>
        <item x="92"/>
        <item x="12"/>
        <item x="52"/>
        <item x="19"/>
        <item x="74"/>
        <item x="22"/>
        <item x="25"/>
        <item x="117"/>
        <item x="134"/>
        <item x="110"/>
        <item x="139"/>
        <item x="34"/>
        <item x="118"/>
        <item x="14"/>
        <item x="37"/>
        <item x="128"/>
        <item x="38"/>
        <item x="119"/>
        <item x="85"/>
        <item x="41"/>
        <item x="40"/>
        <item x="64"/>
        <item x="113"/>
        <item x="86"/>
        <item x="42"/>
        <item x="81"/>
        <item x="9"/>
        <item x="55"/>
        <item x="56"/>
        <item x="109"/>
        <item x="66"/>
        <item x="5"/>
        <item x="136"/>
        <item x="122"/>
        <item x="120"/>
        <item x="61"/>
        <item x="123"/>
        <item x="11"/>
        <item x="43"/>
        <item x="98"/>
        <item x="67"/>
        <item x="93"/>
        <item x="63"/>
        <item x="70"/>
        <item x="71"/>
        <item x="36"/>
        <item x="3"/>
        <item x="44"/>
        <item x="4"/>
        <item x="79"/>
        <item x="62"/>
        <item x="115"/>
        <item x="111"/>
        <item x="100"/>
        <item x="48"/>
        <item x="26"/>
        <item x="75"/>
        <item x="132"/>
        <item x="54"/>
        <item x="82"/>
        <item x="69"/>
        <item x="27"/>
        <item x="87"/>
        <item x="47"/>
        <item x="84"/>
        <item x="45"/>
        <item x="28"/>
        <item x="124"/>
        <item x="16"/>
        <item x="20"/>
        <item x="30"/>
        <item x="101"/>
        <item x="95"/>
        <item x="6"/>
        <item x="59"/>
        <item x="125"/>
        <item x="60"/>
        <item x="96"/>
        <item x="53"/>
        <item x="7"/>
        <item x="50"/>
        <item x="51"/>
        <item x="46"/>
        <item x="102"/>
        <item x="49"/>
        <item x="137"/>
        <item x="88"/>
        <item x="72"/>
        <item x="90"/>
        <item x="31"/>
        <item x="126"/>
        <item x="65"/>
        <item x="114"/>
        <item x="107"/>
        <item x="76"/>
        <item x="121"/>
        <item x="35"/>
        <item x="32"/>
        <item x="99"/>
        <item x="17"/>
        <item x="108"/>
        <item x="91"/>
        <item x="112"/>
        <item x="127"/>
        <item x="68"/>
        <item x="15"/>
        <item x="89"/>
        <item x="73"/>
        <item x="130"/>
        <item x="8"/>
        <item x="10"/>
        <item x="138"/>
        <item x="13"/>
        <item x="103"/>
        <item x="105"/>
        <item x="129"/>
        <item x="58"/>
        <item x="29"/>
        <item x="83"/>
        <item x="33"/>
        <item h="1" x="14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t="grand">
      <x/>
    </i>
  </rowItems>
  <colItems count="1">
    <i/>
  </colItems>
  <dataFields count="1">
    <dataField name="Sum of Value growth" fld="13" baseField="0" baseItem="0"/>
  </dataFields>
  <chartFormats count="5">
    <chartFormat chart="18"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530AF7-A36A-4B52-A42C-8698F3EDD4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C9" firstHeaderRow="0" firstDataRow="1" firstDataCol="1"/>
  <pivotFields count="12">
    <pivotField showAll="0"/>
    <pivotField axis="axisRow" showAll="0" measureFilter="1" sortType="descending">
      <items count="99">
        <item x="15"/>
        <item x="5"/>
        <item x="7"/>
        <item x="6"/>
        <item x="9"/>
        <item x="12"/>
        <item x="33"/>
        <item x="13"/>
        <item x="1"/>
        <item x="16"/>
        <item x="90"/>
        <item x="4"/>
        <item x="45"/>
        <item x="44"/>
        <item x="40"/>
        <item x="20"/>
        <item x="35"/>
        <item x="18"/>
        <item x="19"/>
        <item x="77"/>
        <item x="49"/>
        <item x="21"/>
        <item x="22"/>
        <item x="10"/>
        <item x="65"/>
        <item x="11"/>
        <item x="67"/>
        <item x="23"/>
        <item x="24"/>
        <item x="25"/>
        <item x="27"/>
        <item x="80"/>
        <item x="28"/>
        <item x="70"/>
        <item x="29"/>
        <item x="93"/>
        <item x="8"/>
        <item x="30"/>
        <item x="56"/>
        <item x="54"/>
        <item x="31"/>
        <item x="97"/>
        <item x="88"/>
        <item x="68"/>
        <item x="39"/>
        <item x="3"/>
        <item x="41"/>
        <item x="43"/>
        <item x="47"/>
        <item x="50"/>
        <item x="51"/>
        <item x="52"/>
        <item x="53"/>
        <item x="36"/>
        <item x="86"/>
        <item x="57"/>
        <item x="58"/>
        <item x="59"/>
        <item x="37"/>
        <item x="60"/>
        <item x="0"/>
        <item x="62"/>
        <item x="48"/>
        <item x="64"/>
        <item x="63"/>
        <item x="66"/>
        <item x="69"/>
        <item x="72"/>
        <item x="55"/>
        <item x="74"/>
        <item x="73"/>
        <item x="75"/>
        <item x="14"/>
        <item x="71"/>
        <item x="87"/>
        <item x="89"/>
        <item x="76"/>
        <item x="34"/>
        <item x="78"/>
        <item x="79"/>
        <item x="26"/>
        <item x="82"/>
        <item x="84"/>
        <item x="85"/>
        <item x="81"/>
        <item x="83"/>
        <item x="46"/>
        <item x="32"/>
        <item x="38"/>
        <item x="91"/>
        <item x="92"/>
        <item x="42"/>
        <item x="17"/>
        <item x="94"/>
        <item x="95"/>
        <item x="96"/>
        <item x="2"/>
        <item x="6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39" showAll="0"/>
    <pivotField dataField="1" numFmtId="39" showAll="0"/>
    <pivotField numFmtId="39" showAll="0"/>
    <pivotField numFmtId="39" showAll="0"/>
    <pivotField numFmtId="39" showAll="0"/>
    <pivotField numFmtId="39" showAll="0"/>
  </pivotFields>
  <rowFields count="1">
    <field x="1"/>
  </rowFields>
  <rowItems count="6">
    <i>
      <x v="96"/>
    </i>
    <i>
      <x v="69"/>
    </i>
    <i>
      <x v="37"/>
    </i>
    <i>
      <x v="82"/>
    </i>
    <i>
      <x v="45"/>
    </i>
    <i t="grand">
      <x/>
    </i>
  </rowItems>
  <colFields count="1">
    <field x="-2"/>
  </colFields>
  <colItems count="2">
    <i>
      <x/>
    </i>
    <i i="1">
      <x v="1"/>
    </i>
  </colItems>
  <dataFields count="2">
    <dataField name="Sum of 2023 Value" fld="7" baseField="0" baseItem="0" numFmtId="39"/>
    <dataField name="Sum of 2022 Value" fld="6" baseField="0" baseItem="0" numFmtId="39"/>
  </dataFields>
  <chartFormats count="10">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 chart="41" format="6" series="1">
      <pivotArea type="data" outline="0" fieldPosition="0">
        <references count="1">
          <reference field="4294967294" count="1" selected="0">
            <x v="0"/>
          </reference>
        </references>
      </pivotArea>
    </chartFormat>
    <chartFormat chart="41" format="7" series="1">
      <pivotArea type="data" outline="0" fieldPosition="0">
        <references count="1">
          <reference field="4294967294" count="1" selected="0">
            <x v="1"/>
          </reference>
        </references>
      </pivotArea>
    </chartFormat>
    <chartFormat chart="42" format="8" series="1">
      <pivotArea type="data" outline="0" fieldPosition="0">
        <references count="1">
          <reference field="4294967294" count="1" selected="0">
            <x v="0"/>
          </reference>
        </references>
      </pivotArea>
    </chartFormat>
    <chartFormat chart="42" format="9" series="1">
      <pivotArea type="data" outline="0" fieldPosition="0">
        <references count="1">
          <reference field="4294967294"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DC99A3-C45B-436E-898E-A0404E2249E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14" firstHeaderRow="0" firstDataRow="1" firstDataCol="1"/>
  <pivotFields count="12">
    <pivotField showAll="0">
      <items count="503">
        <item x="487"/>
        <item x="488"/>
        <item x="96"/>
        <item x="97"/>
        <item x="100"/>
        <item x="102"/>
        <item x="99"/>
        <item x="101"/>
        <item x="98"/>
        <item x="435"/>
        <item x="103"/>
        <item x="104"/>
        <item x="276"/>
        <item x="277"/>
        <item x="278"/>
        <item x="280"/>
        <item x="281"/>
        <item x="282"/>
        <item x="279"/>
        <item x="283"/>
        <item x="5"/>
        <item x="12"/>
        <item x="25"/>
        <item x="16"/>
        <item x="4"/>
        <item x="6"/>
        <item x="9"/>
        <item x="13"/>
        <item x="26"/>
        <item x="17"/>
        <item x="18"/>
        <item x="10"/>
        <item x="11"/>
        <item x="19"/>
        <item x="20"/>
        <item x="7"/>
        <item x="14"/>
        <item x="2"/>
        <item x="21"/>
        <item x="8"/>
        <item x="22"/>
        <item x="284"/>
        <item x="94"/>
        <item x="0"/>
        <item x="85"/>
        <item x="15"/>
        <item x="23"/>
        <item x="24"/>
        <item x="3"/>
        <item x="285"/>
        <item x="286"/>
        <item x="287"/>
        <item x="1"/>
        <item x="500"/>
        <item x="493"/>
        <item x="316"/>
        <item x="418"/>
        <item x="419"/>
        <item x="139"/>
        <item x="140"/>
        <item x="319"/>
        <item x="320"/>
        <item x="291"/>
        <item x="292"/>
        <item x="289"/>
        <item x="290"/>
        <item x="412"/>
        <item x="413"/>
        <item x="414"/>
        <item x="415"/>
        <item x="194"/>
        <item x="490"/>
        <item x="491"/>
        <item x="314"/>
        <item x="64"/>
        <item x="63"/>
        <item x="170"/>
        <item x="171"/>
        <item x="172"/>
        <item x="86"/>
        <item x="90"/>
        <item x="87"/>
        <item x="91"/>
        <item x="88"/>
        <item x="89"/>
        <item x="92"/>
        <item x="269"/>
        <item x="270"/>
        <item x="271"/>
        <item x="95"/>
        <item x="106"/>
        <item x="105"/>
        <item x="436"/>
        <item x="437"/>
        <item x="438"/>
        <item x="439"/>
        <item x="492"/>
        <item x="423"/>
        <item x="424"/>
        <item x="498"/>
        <item x="499"/>
        <item x="126"/>
        <item x="440"/>
        <item x="442"/>
        <item x="443"/>
        <item x="441"/>
        <item x="66"/>
        <item x="67"/>
        <item x="72"/>
        <item x="70"/>
        <item x="71"/>
        <item x="73"/>
        <item x="74"/>
        <item x="68"/>
        <item x="75"/>
        <item x="69"/>
        <item x="76"/>
        <item x="135"/>
        <item x="133"/>
        <item x="134"/>
        <item x="136"/>
        <item x="480"/>
        <item x="481"/>
        <item x="137"/>
        <item x="138"/>
        <item x="444"/>
        <item x="325"/>
        <item x="326"/>
        <item x="327"/>
        <item x="302"/>
        <item x="300"/>
        <item x="303"/>
        <item x="311"/>
        <item x="299"/>
        <item x="328"/>
        <item x="301"/>
        <item x="150"/>
        <item x="144"/>
        <item x="145"/>
        <item x="146"/>
        <item x="147"/>
        <item x="143"/>
        <item x="148"/>
        <item x="149"/>
        <item x="151"/>
        <item x="142"/>
        <item x="141"/>
        <item x="212"/>
        <item x="211"/>
        <item x="429"/>
        <item x="430"/>
        <item x="304"/>
        <item x="305"/>
        <item x="152"/>
        <item x="293"/>
        <item x="55"/>
        <item x="182"/>
        <item x="184"/>
        <item x="183"/>
        <item x="185"/>
        <item x="188"/>
        <item x="189"/>
        <item x="186"/>
        <item x="190"/>
        <item x="187"/>
        <item x="191"/>
        <item x="192"/>
        <item x="193"/>
        <item x="422"/>
        <item x="222"/>
        <item x="223"/>
        <item x="218"/>
        <item x="224"/>
        <item x="219"/>
        <item x="220"/>
        <item x="221"/>
        <item x="42"/>
        <item x="494"/>
        <item x="466"/>
        <item x="447"/>
        <item x="445"/>
        <item x="446"/>
        <item x="448"/>
        <item x="449"/>
        <item x="450"/>
        <item x="203"/>
        <item x="204"/>
        <item x="202"/>
        <item x="205"/>
        <item x="207"/>
        <item x="208"/>
        <item x="206"/>
        <item x="467"/>
        <item x="61"/>
        <item x="60"/>
        <item x="62"/>
        <item x="153"/>
        <item x="321"/>
        <item x="322"/>
        <item x="323"/>
        <item x="324"/>
        <item x="226"/>
        <item x="225"/>
        <item x="315"/>
        <item x="210"/>
        <item x="127"/>
        <item x="236"/>
        <item x="255"/>
        <item x="256"/>
        <item x="237"/>
        <item x="243"/>
        <item x="252"/>
        <item x="263"/>
        <item x="244"/>
        <item x="238"/>
        <item x="245"/>
        <item x="257"/>
        <item x="266"/>
        <item x="246"/>
        <item x="239"/>
        <item x="240"/>
        <item x="247"/>
        <item x="258"/>
        <item x="259"/>
        <item x="253"/>
        <item x="260"/>
        <item x="241"/>
        <item x="248"/>
        <item x="264"/>
        <item x="251"/>
        <item x="261"/>
        <item x="262"/>
        <item x="265"/>
        <item x="242"/>
        <item x="249"/>
        <item x="250"/>
        <item x="254"/>
        <item x="129"/>
        <item x="130"/>
        <item x="131"/>
        <item x="132"/>
        <item x="28"/>
        <item x="29"/>
        <item x="30"/>
        <item x="31"/>
        <item x="32"/>
        <item x="33"/>
        <item x="34"/>
        <item x="35"/>
        <item x="39"/>
        <item x="36"/>
        <item x="37"/>
        <item x="27"/>
        <item x="38"/>
        <item x="154"/>
        <item x="41"/>
        <item x="40"/>
        <item x="288"/>
        <item x="209"/>
        <item x="433"/>
        <item x="434"/>
        <item x="426"/>
        <item x="427"/>
        <item x="425"/>
        <item x="330"/>
        <item x="163"/>
        <item x="107"/>
        <item x="272"/>
        <item x="273"/>
        <item x="274"/>
        <item x="489"/>
        <item x="175"/>
        <item x="176"/>
        <item x="177"/>
        <item x="178"/>
        <item x="179"/>
        <item x="180"/>
        <item x="181"/>
        <item x="294"/>
        <item x="228"/>
        <item x="229"/>
        <item x="232"/>
        <item x="233"/>
        <item x="234"/>
        <item x="235"/>
        <item x="230"/>
        <item x="231"/>
        <item x="108"/>
        <item x="109"/>
        <item x="306"/>
        <item x="162"/>
        <item x="297"/>
        <item x="298"/>
        <item x="157"/>
        <item x="158"/>
        <item x="155"/>
        <item x="156"/>
        <item x="159"/>
        <item x="110"/>
        <item x="468"/>
        <item x="81"/>
        <item x="82"/>
        <item x="79"/>
        <item x="83"/>
        <item x="80"/>
        <item x="93"/>
        <item x="113"/>
        <item x="406"/>
        <item x="338"/>
        <item x="339"/>
        <item x="331"/>
        <item x="332"/>
        <item x="333"/>
        <item x="340"/>
        <item x="341"/>
        <item x="336"/>
        <item x="386"/>
        <item x="342"/>
        <item x="343"/>
        <item x="387"/>
        <item x="344"/>
        <item x="345"/>
        <item x="346"/>
        <item x="347"/>
        <item x="348"/>
        <item x="349"/>
        <item x="350"/>
        <item x="351"/>
        <item x="352"/>
        <item x="353"/>
        <item x="354"/>
        <item x="355"/>
        <item x="356"/>
        <item x="357"/>
        <item x="358"/>
        <item x="359"/>
        <item x="360"/>
        <item x="361"/>
        <item x="362"/>
        <item x="388"/>
        <item x="389"/>
        <item x="390"/>
        <item x="363"/>
        <item x="391"/>
        <item x="364"/>
        <item x="365"/>
        <item x="400"/>
        <item x="392"/>
        <item x="393"/>
        <item x="394"/>
        <item x="395"/>
        <item x="402"/>
        <item x="403"/>
        <item x="396"/>
        <item x="397"/>
        <item x="398"/>
        <item x="399"/>
        <item x="404"/>
        <item x="405"/>
        <item x="371"/>
        <item x="372"/>
        <item x="370"/>
        <item x="373"/>
        <item x="374"/>
        <item x="375"/>
        <item x="376"/>
        <item x="377"/>
        <item x="378"/>
        <item x="379"/>
        <item x="380"/>
        <item x="407"/>
        <item x="381"/>
        <item x="334"/>
        <item x="382"/>
        <item x="335"/>
        <item x="366"/>
        <item x="367"/>
        <item x="368"/>
        <item x="369"/>
        <item x="401"/>
        <item x="383"/>
        <item x="384"/>
        <item x="385"/>
        <item x="337"/>
        <item x="317"/>
        <item x="43"/>
        <item x="44"/>
        <item x="45"/>
        <item x="46"/>
        <item x="50"/>
        <item x="47"/>
        <item x="48"/>
        <item x="49"/>
        <item x="51"/>
        <item x="200"/>
        <item x="469"/>
        <item x="470"/>
        <item x="471"/>
        <item x="201"/>
        <item x="318"/>
        <item x="173"/>
        <item x="174"/>
        <item x="52"/>
        <item x="53"/>
        <item x="166"/>
        <item x="167"/>
        <item x="168"/>
        <item x="169"/>
        <item x="160"/>
        <item x="409"/>
        <item x="408"/>
        <item x="165"/>
        <item x="164"/>
        <item x="495"/>
        <item x="496"/>
        <item x="307"/>
        <item x="312"/>
        <item x="267"/>
        <item x="114"/>
        <item x="161"/>
        <item x="216"/>
        <item x="474"/>
        <item x="475"/>
        <item x="477"/>
        <item x="478"/>
        <item x="472"/>
        <item x="473"/>
        <item x="476"/>
        <item x="217"/>
        <item x="214"/>
        <item x="215"/>
        <item x="213"/>
        <item x="432"/>
        <item x="431"/>
        <item x="420"/>
        <item x="275"/>
        <item x="457"/>
        <item x="452"/>
        <item x="451"/>
        <item x="456"/>
        <item x="464"/>
        <item x="465"/>
        <item x="453"/>
        <item x="458"/>
        <item x="459"/>
        <item x="460"/>
        <item x="463"/>
        <item x="454"/>
        <item x="461"/>
        <item x="455"/>
        <item x="462"/>
        <item x="128"/>
        <item x="123"/>
        <item x="116"/>
        <item x="117"/>
        <item x="121"/>
        <item x="118"/>
        <item x="119"/>
        <item x="122"/>
        <item x="115"/>
        <item x="120"/>
        <item x="329"/>
        <item x="84"/>
        <item x="421"/>
        <item x="313"/>
        <item x="428"/>
        <item x="479"/>
        <item x="227"/>
        <item x="77"/>
        <item x="78"/>
        <item x="309"/>
        <item x="308"/>
        <item x="310"/>
        <item x="268"/>
        <item x="486"/>
        <item x="54"/>
        <item x="56"/>
        <item x="58"/>
        <item x="57"/>
        <item x="59"/>
        <item x="497"/>
        <item x="65"/>
        <item x="410"/>
        <item x="411"/>
        <item x="416"/>
        <item x="417"/>
        <item x="484"/>
        <item x="483"/>
        <item x="485"/>
        <item x="482"/>
        <item x="195"/>
        <item x="196"/>
        <item x="197"/>
        <item x="198"/>
        <item x="199"/>
        <item x="111"/>
        <item x="112"/>
        <item x="295"/>
        <item x="296"/>
        <item x="124"/>
        <item x="125"/>
        <item x="501"/>
        <item t="default"/>
      </items>
    </pivotField>
    <pivotField showAll="0">
      <items count="100">
        <item x="15"/>
        <item x="5"/>
        <item x="7"/>
        <item x="6"/>
        <item x="9"/>
        <item x="12"/>
        <item x="33"/>
        <item x="13"/>
        <item x="1"/>
        <item x="16"/>
        <item x="90"/>
        <item x="4"/>
        <item x="45"/>
        <item x="44"/>
        <item x="40"/>
        <item x="20"/>
        <item x="35"/>
        <item x="18"/>
        <item x="19"/>
        <item x="77"/>
        <item x="49"/>
        <item x="21"/>
        <item x="22"/>
        <item x="10"/>
        <item x="65"/>
        <item x="11"/>
        <item x="67"/>
        <item x="23"/>
        <item x="24"/>
        <item x="25"/>
        <item x="27"/>
        <item x="80"/>
        <item x="28"/>
        <item x="70"/>
        <item x="29"/>
        <item x="93"/>
        <item x="8"/>
        <item x="30"/>
        <item x="56"/>
        <item x="54"/>
        <item x="31"/>
        <item x="97"/>
        <item x="88"/>
        <item x="68"/>
        <item x="39"/>
        <item x="3"/>
        <item x="41"/>
        <item x="43"/>
        <item x="47"/>
        <item x="50"/>
        <item x="51"/>
        <item x="52"/>
        <item x="53"/>
        <item x="36"/>
        <item x="86"/>
        <item x="57"/>
        <item x="58"/>
        <item x="59"/>
        <item x="37"/>
        <item x="60"/>
        <item x="0"/>
        <item x="62"/>
        <item x="48"/>
        <item x="64"/>
        <item x="63"/>
        <item x="66"/>
        <item x="69"/>
        <item x="72"/>
        <item x="55"/>
        <item x="74"/>
        <item x="73"/>
        <item x="75"/>
        <item x="14"/>
        <item x="71"/>
        <item x="87"/>
        <item x="89"/>
        <item x="76"/>
        <item x="34"/>
        <item x="78"/>
        <item x="79"/>
        <item x="26"/>
        <item x="82"/>
        <item x="84"/>
        <item x="85"/>
        <item x="81"/>
        <item x="83"/>
        <item x="46"/>
        <item x="32"/>
        <item x="38"/>
        <item x="91"/>
        <item x="92"/>
        <item x="42"/>
        <item x="17"/>
        <item x="94"/>
        <item x="95"/>
        <item x="96"/>
        <item x="2"/>
        <item x="61"/>
        <item x="98"/>
        <item t="default"/>
      </items>
    </pivotField>
    <pivotField showAll="0">
      <items count="142">
        <item x="131"/>
        <item x="23"/>
        <item x="116"/>
        <item x="24"/>
        <item x="77"/>
        <item x="2"/>
        <item x="78"/>
        <item x="21"/>
        <item x="0"/>
        <item x="18"/>
        <item x="1"/>
        <item x="135"/>
        <item x="94"/>
        <item x="106"/>
        <item x="39"/>
        <item x="97"/>
        <item x="80"/>
        <item x="104"/>
        <item x="57"/>
        <item x="133"/>
        <item x="92"/>
        <item x="12"/>
        <item x="52"/>
        <item x="19"/>
        <item x="74"/>
        <item x="22"/>
        <item x="25"/>
        <item x="117"/>
        <item x="134"/>
        <item x="110"/>
        <item x="139"/>
        <item x="34"/>
        <item x="118"/>
        <item x="14"/>
        <item x="37"/>
        <item x="128"/>
        <item x="38"/>
        <item x="119"/>
        <item x="85"/>
        <item x="41"/>
        <item x="40"/>
        <item x="64"/>
        <item x="113"/>
        <item x="86"/>
        <item x="42"/>
        <item x="81"/>
        <item x="9"/>
        <item x="55"/>
        <item x="56"/>
        <item x="109"/>
        <item x="66"/>
        <item x="5"/>
        <item x="136"/>
        <item x="122"/>
        <item x="120"/>
        <item x="61"/>
        <item x="123"/>
        <item x="11"/>
        <item x="43"/>
        <item x="98"/>
        <item x="67"/>
        <item x="93"/>
        <item x="63"/>
        <item x="70"/>
        <item x="71"/>
        <item x="36"/>
        <item x="3"/>
        <item x="44"/>
        <item x="4"/>
        <item x="79"/>
        <item x="62"/>
        <item x="115"/>
        <item x="111"/>
        <item x="100"/>
        <item x="48"/>
        <item x="26"/>
        <item x="75"/>
        <item x="132"/>
        <item x="54"/>
        <item x="82"/>
        <item x="69"/>
        <item x="27"/>
        <item x="87"/>
        <item x="47"/>
        <item x="84"/>
        <item x="45"/>
        <item x="28"/>
        <item x="124"/>
        <item x="16"/>
        <item x="20"/>
        <item x="30"/>
        <item x="101"/>
        <item x="95"/>
        <item x="6"/>
        <item x="59"/>
        <item x="125"/>
        <item x="60"/>
        <item x="96"/>
        <item x="53"/>
        <item x="7"/>
        <item x="50"/>
        <item x="51"/>
        <item x="46"/>
        <item x="102"/>
        <item x="49"/>
        <item x="137"/>
        <item x="88"/>
        <item x="72"/>
        <item x="90"/>
        <item x="31"/>
        <item x="126"/>
        <item x="65"/>
        <item x="114"/>
        <item x="107"/>
        <item x="76"/>
        <item x="121"/>
        <item x="35"/>
        <item x="32"/>
        <item x="99"/>
        <item x="17"/>
        <item x="108"/>
        <item x="91"/>
        <item x="112"/>
        <item x="127"/>
        <item x="68"/>
        <item x="15"/>
        <item x="89"/>
        <item x="73"/>
        <item x="130"/>
        <item x="8"/>
        <item x="10"/>
        <item x="138"/>
        <item x="13"/>
        <item x="103"/>
        <item x="105"/>
        <item x="129"/>
        <item x="58"/>
        <item x="29"/>
        <item x="83"/>
        <item x="33"/>
        <item x="140"/>
        <item t="default"/>
      </items>
    </pivotField>
    <pivotField showAll="0">
      <items count="4">
        <item x="0"/>
        <item x="1"/>
        <item x="2"/>
        <item t="default"/>
      </items>
    </pivotField>
    <pivotField showAll="0">
      <items count="8">
        <item x="2"/>
        <item x="5"/>
        <item x="4"/>
        <item x="1"/>
        <item x="3"/>
        <item x="0"/>
        <item x="6"/>
        <item t="default"/>
      </items>
    </pivotField>
    <pivotField axis="axisRow" showAll="0" measureFilter="1" sortType="descending">
      <items count="38">
        <item x="36"/>
        <item x="21"/>
        <item x="31"/>
        <item x="12"/>
        <item x="35"/>
        <item x="3"/>
        <item x="17"/>
        <item x="32"/>
        <item x="2"/>
        <item x="23"/>
        <item x="9"/>
        <item x="26"/>
        <item x="1"/>
        <item x="34"/>
        <item x="8"/>
        <item x="18"/>
        <item x="16"/>
        <item x="7"/>
        <item x="15"/>
        <item x="11"/>
        <item x="33"/>
        <item x="6"/>
        <item x="25"/>
        <item x="20"/>
        <item x="10"/>
        <item x="29"/>
        <item x="30"/>
        <item x="5"/>
        <item x="28"/>
        <item x="14"/>
        <item x="22"/>
        <item x="13"/>
        <item x="27"/>
        <item x="0"/>
        <item x="4"/>
        <item x="24"/>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dataField="1" showAll="0"/>
  </pivotFields>
  <rowFields count="1">
    <field x="5"/>
  </rowFields>
  <rowItems count="11">
    <i>
      <x v="14"/>
    </i>
    <i>
      <x v="5"/>
    </i>
    <i>
      <x v="12"/>
    </i>
    <i>
      <x v="17"/>
    </i>
    <i>
      <x v="8"/>
    </i>
    <i>
      <x v="23"/>
    </i>
    <i>
      <x v="19"/>
    </i>
    <i>
      <x v="3"/>
    </i>
    <i>
      <x v="18"/>
    </i>
    <i>
      <x v="2"/>
    </i>
    <i t="grand">
      <x/>
    </i>
  </rowItems>
  <colFields count="1">
    <field x="-2"/>
  </colFields>
  <colItems count="3">
    <i>
      <x/>
    </i>
    <i i="1">
      <x v="1"/>
    </i>
    <i i="2">
      <x v="2"/>
    </i>
  </colItems>
  <dataFields count="3">
    <dataField name="Sum of 2022 Volume" fld="9" baseField="0" baseItem="0"/>
    <dataField name="Sum of 2023 Volume" fld="10" baseField="0" baseItem="0"/>
    <dataField name="Sum of YTD 24 Volume" fld="11" baseField="0" baseItem="0"/>
  </dataFields>
  <formats count="1">
    <format dxfId="2">
      <pivotArea outline="0" collapsedLevelsAreSubtotals="1" fieldPosition="0"/>
    </format>
  </formats>
  <chartFormats count="15">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1"/>
          </reference>
        </references>
      </pivotArea>
    </chartFormat>
    <chartFormat chart="6"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53B80D-4400-4E52-A1CD-ED53A8DB9AE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D6:E17" firstHeaderRow="1" firstDataRow="1" firstDataCol="1"/>
  <pivotFields count="16">
    <pivotField axis="axisRow" showAll="0" measureFilter="1" sortType="ascending">
      <items count="503">
        <item x="487"/>
        <item x="488"/>
        <item x="96"/>
        <item x="97"/>
        <item x="100"/>
        <item x="102"/>
        <item x="99"/>
        <item x="101"/>
        <item x="98"/>
        <item x="435"/>
        <item x="103"/>
        <item x="104"/>
        <item x="276"/>
        <item x="277"/>
        <item x="278"/>
        <item x="280"/>
        <item x="281"/>
        <item x="282"/>
        <item x="279"/>
        <item x="283"/>
        <item x="5"/>
        <item x="12"/>
        <item x="25"/>
        <item x="16"/>
        <item x="4"/>
        <item x="6"/>
        <item x="9"/>
        <item x="13"/>
        <item x="26"/>
        <item x="17"/>
        <item x="18"/>
        <item x="10"/>
        <item x="11"/>
        <item x="19"/>
        <item x="20"/>
        <item x="7"/>
        <item x="14"/>
        <item x="2"/>
        <item x="21"/>
        <item x="8"/>
        <item x="22"/>
        <item x="284"/>
        <item x="94"/>
        <item x="0"/>
        <item x="85"/>
        <item x="15"/>
        <item x="23"/>
        <item x="24"/>
        <item x="3"/>
        <item x="285"/>
        <item x="286"/>
        <item x="287"/>
        <item x="1"/>
        <item x="500"/>
        <item x="493"/>
        <item x="316"/>
        <item x="418"/>
        <item x="419"/>
        <item x="139"/>
        <item x="140"/>
        <item x="319"/>
        <item x="320"/>
        <item x="291"/>
        <item x="292"/>
        <item x="289"/>
        <item x="290"/>
        <item x="412"/>
        <item x="413"/>
        <item x="414"/>
        <item x="415"/>
        <item x="194"/>
        <item x="490"/>
        <item x="491"/>
        <item x="314"/>
        <item x="64"/>
        <item x="63"/>
        <item x="170"/>
        <item x="171"/>
        <item x="172"/>
        <item x="86"/>
        <item x="90"/>
        <item x="87"/>
        <item x="91"/>
        <item x="88"/>
        <item x="89"/>
        <item x="92"/>
        <item x="269"/>
        <item x="270"/>
        <item x="271"/>
        <item x="95"/>
        <item x="106"/>
        <item x="105"/>
        <item x="436"/>
        <item x="437"/>
        <item x="438"/>
        <item x="439"/>
        <item x="492"/>
        <item x="423"/>
        <item x="424"/>
        <item x="498"/>
        <item x="499"/>
        <item x="126"/>
        <item x="440"/>
        <item x="442"/>
        <item x="443"/>
        <item x="441"/>
        <item x="66"/>
        <item x="67"/>
        <item x="72"/>
        <item x="70"/>
        <item x="71"/>
        <item x="73"/>
        <item x="74"/>
        <item x="68"/>
        <item x="75"/>
        <item x="69"/>
        <item x="76"/>
        <item x="135"/>
        <item x="133"/>
        <item x="134"/>
        <item x="136"/>
        <item x="480"/>
        <item x="481"/>
        <item x="137"/>
        <item x="138"/>
        <item x="444"/>
        <item x="325"/>
        <item x="326"/>
        <item x="327"/>
        <item x="302"/>
        <item x="300"/>
        <item x="303"/>
        <item x="311"/>
        <item x="299"/>
        <item x="328"/>
        <item x="301"/>
        <item x="150"/>
        <item x="144"/>
        <item x="145"/>
        <item x="146"/>
        <item x="147"/>
        <item x="143"/>
        <item x="148"/>
        <item x="149"/>
        <item x="151"/>
        <item x="142"/>
        <item x="141"/>
        <item x="212"/>
        <item x="211"/>
        <item x="429"/>
        <item x="430"/>
        <item x="304"/>
        <item x="305"/>
        <item x="152"/>
        <item x="293"/>
        <item x="55"/>
        <item x="182"/>
        <item x="184"/>
        <item x="183"/>
        <item x="185"/>
        <item x="188"/>
        <item x="189"/>
        <item x="186"/>
        <item x="190"/>
        <item x="187"/>
        <item x="191"/>
        <item x="192"/>
        <item x="193"/>
        <item x="422"/>
        <item x="222"/>
        <item x="223"/>
        <item x="218"/>
        <item x="224"/>
        <item x="219"/>
        <item x="220"/>
        <item x="221"/>
        <item x="42"/>
        <item x="494"/>
        <item x="466"/>
        <item x="447"/>
        <item x="445"/>
        <item x="446"/>
        <item x="448"/>
        <item x="449"/>
        <item x="450"/>
        <item x="203"/>
        <item x="204"/>
        <item x="202"/>
        <item x="205"/>
        <item x="207"/>
        <item x="208"/>
        <item x="206"/>
        <item x="467"/>
        <item x="61"/>
        <item x="60"/>
        <item x="62"/>
        <item x="153"/>
        <item x="321"/>
        <item x="322"/>
        <item x="323"/>
        <item x="324"/>
        <item x="226"/>
        <item x="225"/>
        <item x="315"/>
        <item x="210"/>
        <item x="127"/>
        <item x="236"/>
        <item x="255"/>
        <item x="256"/>
        <item x="237"/>
        <item x="243"/>
        <item x="252"/>
        <item x="263"/>
        <item x="244"/>
        <item x="238"/>
        <item x="245"/>
        <item x="257"/>
        <item x="266"/>
        <item x="246"/>
        <item x="239"/>
        <item x="240"/>
        <item x="247"/>
        <item x="258"/>
        <item x="259"/>
        <item x="253"/>
        <item x="260"/>
        <item x="241"/>
        <item x="248"/>
        <item x="264"/>
        <item x="251"/>
        <item x="261"/>
        <item x="262"/>
        <item x="265"/>
        <item x="242"/>
        <item x="249"/>
        <item x="250"/>
        <item x="254"/>
        <item x="129"/>
        <item x="130"/>
        <item x="131"/>
        <item x="132"/>
        <item x="28"/>
        <item x="29"/>
        <item x="30"/>
        <item x="31"/>
        <item x="32"/>
        <item x="33"/>
        <item x="34"/>
        <item x="35"/>
        <item x="39"/>
        <item x="36"/>
        <item x="37"/>
        <item x="27"/>
        <item x="38"/>
        <item x="154"/>
        <item x="41"/>
        <item x="40"/>
        <item x="288"/>
        <item x="209"/>
        <item x="433"/>
        <item x="434"/>
        <item x="426"/>
        <item x="427"/>
        <item x="425"/>
        <item x="330"/>
        <item x="163"/>
        <item x="107"/>
        <item x="272"/>
        <item x="273"/>
        <item x="274"/>
        <item x="489"/>
        <item x="175"/>
        <item x="176"/>
        <item x="177"/>
        <item x="178"/>
        <item x="179"/>
        <item x="180"/>
        <item x="181"/>
        <item x="294"/>
        <item x="228"/>
        <item x="229"/>
        <item x="232"/>
        <item x="233"/>
        <item x="234"/>
        <item x="235"/>
        <item x="230"/>
        <item x="231"/>
        <item x="108"/>
        <item x="109"/>
        <item x="306"/>
        <item x="162"/>
        <item x="297"/>
        <item x="298"/>
        <item x="157"/>
        <item x="158"/>
        <item x="155"/>
        <item x="156"/>
        <item x="159"/>
        <item x="110"/>
        <item x="468"/>
        <item x="81"/>
        <item x="82"/>
        <item x="79"/>
        <item x="83"/>
        <item x="80"/>
        <item x="93"/>
        <item x="113"/>
        <item x="406"/>
        <item x="338"/>
        <item x="339"/>
        <item x="331"/>
        <item x="332"/>
        <item x="333"/>
        <item x="340"/>
        <item x="341"/>
        <item x="336"/>
        <item x="386"/>
        <item x="342"/>
        <item x="343"/>
        <item x="387"/>
        <item x="344"/>
        <item x="345"/>
        <item x="346"/>
        <item x="347"/>
        <item x="348"/>
        <item x="349"/>
        <item x="350"/>
        <item x="351"/>
        <item x="352"/>
        <item x="353"/>
        <item x="354"/>
        <item x="355"/>
        <item x="356"/>
        <item x="357"/>
        <item x="358"/>
        <item x="359"/>
        <item x="360"/>
        <item x="361"/>
        <item x="362"/>
        <item x="388"/>
        <item x="389"/>
        <item x="390"/>
        <item x="363"/>
        <item x="391"/>
        <item x="364"/>
        <item x="365"/>
        <item x="400"/>
        <item x="392"/>
        <item x="393"/>
        <item x="394"/>
        <item x="395"/>
        <item x="402"/>
        <item x="403"/>
        <item x="396"/>
        <item x="397"/>
        <item x="398"/>
        <item x="399"/>
        <item x="404"/>
        <item x="405"/>
        <item x="371"/>
        <item x="372"/>
        <item x="370"/>
        <item x="373"/>
        <item x="374"/>
        <item x="375"/>
        <item x="376"/>
        <item x="377"/>
        <item x="378"/>
        <item x="379"/>
        <item x="380"/>
        <item x="407"/>
        <item x="381"/>
        <item x="334"/>
        <item x="382"/>
        <item x="335"/>
        <item x="366"/>
        <item x="367"/>
        <item x="368"/>
        <item x="369"/>
        <item x="401"/>
        <item x="383"/>
        <item x="384"/>
        <item x="385"/>
        <item x="337"/>
        <item x="317"/>
        <item x="43"/>
        <item x="44"/>
        <item x="45"/>
        <item x="46"/>
        <item x="50"/>
        <item x="47"/>
        <item x="48"/>
        <item x="49"/>
        <item x="51"/>
        <item x="200"/>
        <item x="469"/>
        <item x="470"/>
        <item x="471"/>
        <item x="201"/>
        <item x="318"/>
        <item x="173"/>
        <item x="174"/>
        <item x="52"/>
        <item x="53"/>
        <item x="166"/>
        <item x="167"/>
        <item x="168"/>
        <item x="169"/>
        <item x="160"/>
        <item x="409"/>
        <item x="408"/>
        <item x="165"/>
        <item x="164"/>
        <item x="495"/>
        <item x="496"/>
        <item x="307"/>
        <item x="312"/>
        <item x="267"/>
        <item x="114"/>
        <item x="161"/>
        <item x="216"/>
        <item x="474"/>
        <item x="475"/>
        <item x="477"/>
        <item x="478"/>
        <item x="472"/>
        <item x="473"/>
        <item x="476"/>
        <item x="217"/>
        <item x="214"/>
        <item x="215"/>
        <item x="213"/>
        <item x="432"/>
        <item x="431"/>
        <item x="420"/>
        <item x="275"/>
        <item x="457"/>
        <item x="452"/>
        <item x="451"/>
        <item x="456"/>
        <item x="464"/>
        <item x="465"/>
        <item x="453"/>
        <item x="458"/>
        <item x="459"/>
        <item x="460"/>
        <item x="463"/>
        <item x="454"/>
        <item x="461"/>
        <item x="455"/>
        <item x="462"/>
        <item x="128"/>
        <item x="123"/>
        <item x="116"/>
        <item x="117"/>
        <item x="121"/>
        <item x="118"/>
        <item x="119"/>
        <item x="122"/>
        <item x="115"/>
        <item x="120"/>
        <item x="329"/>
        <item x="84"/>
        <item x="421"/>
        <item x="313"/>
        <item x="428"/>
        <item x="479"/>
        <item x="227"/>
        <item x="77"/>
        <item x="78"/>
        <item x="309"/>
        <item x="308"/>
        <item x="310"/>
        <item x="268"/>
        <item x="486"/>
        <item x="54"/>
        <item x="56"/>
        <item x="58"/>
        <item x="57"/>
        <item x="59"/>
        <item x="497"/>
        <item x="65"/>
        <item x="410"/>
        <item x="411"/>
        <item x="416"/>
        <item x="417"/>
        <item x="484"/>
        <item x="483"/>
        <item x="485"/>
        <item x="482"/>
        <item x="195"/>
        <item x="196"/>
        <item x="197"/>
        <item x="198"/>
        <item x="199"/>
        <item x="111"/>
        <item x="112"/>
        <item x="295"/>
        <item x="296"/>
        <item x="124"/>
        <item x="125"/>
        <item x="5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v="154"/>
    </i>
    <i>
      <x v="346"/>
    </i>
    <i>
      <x v="103"/>
    </i>
    <i>
      <x v="40"/>
    </i>
    <i>
      <x v="288"/>
    </i>
    <i>
      <x v="196"/>
    </i>
    <i>
      <x v="423"/>
    </i>
    <i>
      <x v="141"/>
    </i>
    <i>
      <x v="181"/>
    </i>
    <i>
      <x v="24"/>
    </i>
    <i t="grand">
      <x/>
    </i>
  </rowItems>
  <colItems count="1">
    <i/>
  </colItems>
  <dataFields count="1">
    <dataField name="Sum of Volumn drop 2022 to 2023" fld="15" baseField="0" baseItem="0"/>
  </dataFields>
  <chartFormats count="3">
    <chartFormat chart="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F648E7-526B-42B2-9636-A3C8F371004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4:C15" firstHeaderRow="1" firstDataRow="1" firstDataCol="1"/>
  <pivotFields count="16">
    <pivotField showAll="0"/>
    <pivotField showAll="0"/>
    <pivotField showAll="0"/>
    <pivotField axis="axisRow" showAll="0">
      <items count="4">
        <item x="0"/>
        <item x="1"/>
        <item h="1" x="2"/>
        <item t="default"/>
      </items>
    </pivotField>
    <pivotField axis="axisRow" showAll="0">
      <items count="8">
        <item x="2"/>
        <item x="5"/>
        <item x="4"/>
        <item x="1"/>
        <item x="3"/>
        <item x="0"/>
        <item x="6"/>
        <item t="default"/>
      </items>
    </pivotField>
    <pivotField dataField="1" showAll="0"/>
    <pivotField showAll="0"/>
    <pivotField showAll="0"/>
    <pivotField showAll="0"/>
    <pivotField showAll="0"/>
    <pivotField showAll="0"/>
    <pivotField showAll="0"/>
    <pivotField showAll="0">
      <items count="324">
        <item x="1"/>
        <item x="154"/>
        <item x="73"/>
        <item x="144"/>
        <item x="161"/>
        <item x="119"/>
        <item x="107"/>
        <item x="182"/>
        <item x="156"/>
        <item x="272"/>
        <item x="176"/>
        <item x="6"/>
        <item x="175"/>
        <item x="108"/>
        <item x="8"/>
        <item x="4"/>
        <item x="284"/>
        <item x="234"/>
        <item x="210"/>
        <item x="160"/>
        <item x="122"/>
        <item x="239"/>
        <item x="212"/>
        <item x="293"/>
        <item x="101"/>
        <item x="52"/>
        <item x="27"/>
        <item x="254"/>
        <item x="55"/>
        <item x="187"/>
        <item x="164"/>
        <item x="214"/>
        <item x="265"/>
        <item x="321"/>
        <item x="2"/>
        <item x="223"/>
        <item x="170"/>
        <item x="5"/>
        <item x="83"/>
        <item x="82"/>
        <item x="109"/>
        <item x="157"/>
        <item x="320"/>
        <item x="312"/>
        <item x="314"/>
        <item x="30"/>
        <item x="188"/>
        <item x="34"/>
        <item x="63"/>
        <item x="281"/>
        <item x="189"/>
        <item x="134"/>
        <item x="131"/>
        <item x="14"/>
        <item x="132"/>
        <item x="155"/>
        <item x="85"/>
        <item x="300"/>
        <item x="180"/>
        <item x="146"/>
        <item x="178"/>
        <item x="158"/>
        <item x="24"/>
        <item x="280"/>
        <item x="32"/>
        <item x="97"/>
        <item x="262"/>
        <item x="204"/>
        <item x="33"/>
        <item x="113"/>
        <item x="103"/>
        <item x="31"/>
        <item x="44"/>
        <item x="275"/>
        <item x="115"/>
        <item x="292"/>
        <item x="118"/>
        <item x="68"/>
        <item x="307"/>
        <item x="65"/>
        <item x="195"/>
        <item x="145"/>
        <item x="40"/>
        <item x="269"/>
        <item x="186"/>
        <item x="224"/>
        <item x="202"/>
        <item x="143"/>
        <item x="221"/>
        <item x="91"/>
        <item x="286"/>
        <item x="308"/>
        <item x="80"/>
        <item x="61"/>
        <item x="47"/>
        <item x="56"/>
        <item x="151"/>
        <item x="23"/>
        <item x="266"/>
        <item x="306"/>
        <item x="125"/>
        <item x="117"/>
        <item x="72"/>
        <item x="168"/>
        <item x="18"/>
        <item x="238"/>
        <item x="102"/>
        <item x="276"/>
        <item x="263"/>
        <item x="54"/>
        <item x="41"/>
        <item x="26"/>
        <item x="172"/>
        <item x="305"/>
        <item x="162"/>
        <item x="261"/>
        <item x="237"/>
        <item x="64"/>
        <item x="133"/>
        <item x="128"/>
        <item x="71"/>
        <item x="169"/>
        <item x="236"/>
        <item x="106"/>
        <item x="58"/>
        <item x="116"/>
        <item x="279"/>
        <item x="48"/>
        <item x="209"/>
        <item x="296"/>
        <item x="96"/>
        <item x="114"/>
        <item x="173"/>
        <item x="149"/>
        <item x="62"/>
        <item x="38"/>
        <item x="148"/>
        <item x="67"/>
        <item x="301"/>
        <item x="309"/>
        <item x="159"/>
        <item x="311"/>
        <item x="267"/>
        <item x="290"/>
        <item x="231"/>
        <item x="9"/>
        <item x="45"/>
        <item x="12"/>
        <item x="29"/>
        <item x="304"/>
        <item x="36"/>
        <item x="3"/>
        <item x="129"/>
        <item x="213"/>
        <item x="171"/>
        <item x="192"/>
        <item x="70"/>
        <item x="166"/>
        <item x="289"/>
        <item x="13"/>
        <item x="167"/>
        <item x="201"/>
        <item x="294"/>
        <item x="319"/>
        <item x="313"/>
        <item x="277"/>
        <item x="219"/>
        <item x="150"/>
        <item x="174"/>
        <item x="60"/>
        <item x="249"/>
        <item x="181"/>
        <item x="127"/>
        <item x="183"/>
        <item x="310"/>
        <item x="74"/>
        <item x="17"/>
        <item x="90"/>
        <item x="242"/>
        <item x="298"/>
        <item x="100"/>
        <item x="193"/>
        <item x="291"/>
        <item x="75"/>
        <item x="222"/>
        <item x="81"/>
        <item x="7"/>
        <item x="110"/>
        <item x="152"/>
        <item x="197"/>
        <item x="255"/>
        <item x="229"/>
        <item x="163"/>
        <item x="142"/>
        <item x="46"/>
        <item x="256"/>
        <item x="165"/>
        <item x="199"/>
        <item x="260"/>
        <item x="43"/>
        <item x="50"/>
        <item x="206"/>
        <item x="126"/>
        <item x="69"/>
        <item x="59"/>
        <item x="316"/>
        <item x="303"/>
        <item x="218"/>
        <item x="271"/>
        <item x="78"/>
        <item x="84"/>
        <item x="112"/>
        <item x="250"/>
        <item x="196"/>
        <item x="318"/>
        <item x="98"/>
        <item x="147"/>
        <item x="177"/>
        <item x="137"/>
        <item x="0"/>
        <item x="282"/>
        <item x="79"/>
        <item x="35"/>
        <item x="49"/>
        <item x="253"/>
        <item x="124"/>
        <item x="247"/>
        <item x="28"/>
        <item x="104"/>
        <item x="285"/>
        <item x="25"/>
        <item x="252"/>
        <item x="123"/>
        <item x="287"/>
        <item x="136"/>
        <item x="230"/>
        <item x="95"/>
        <item x="19"/>
        <item x="259"/>
        <item x="268"/>
        <item x="315"/>
        <item x="179"/>
        <item x="299"/>
        <item x="77"/>
        <item x="225"/>
        <item x="88"/>
        <item x="105"/>
        <item x="220"/>
        <item x="94"/>
        <item x="37"/>
        <item x="141"/>
        <item x="51"/>
        <item x="86"/>
        <item x="215"/>
        <item x="21"/>
        <item x="16"/>
        <item x="233"/>
        <item x="22"/>
        <item x="200"/>
        <item x="246"/>
        <item x="89"/>
        <item x="248"/>
        <item x="288"/>
        <item x="198"/>
        <item x="228"/>
        <item x="99"/>
        <item x="258"/>
        <item x="216"/>
        <item x="53"/>
        <item x="57"/>
        <item x="120"/>
        <item x="42"/>
        <item x="191"/>
        <item x="207"/>
        <item x="15"/>
        <item x="185"/>
        <item x="295"/>
        <item x="270"/>
        <item x="302"/>
        <item x="208"/>
        <item x="190"/>
        <item x="264"/>
        <item x="211"/>
        <item x="297"/>
        <item x="39"/>
        <item x="20"/>
        <item x="203"/>
        <item x="76"/>
        <item x="140"/>
        <item x="274"/>
        <item x="257"/>
        <item x="240"/>
        <item x="184"/>
        <item x="121"/>
        <item x="87"/>
        <item x="139"/>
        <item x="217"/>
        <item x="241"/>
        <item x="66"/>
        <item x="130"/>
        <item x="226"/>
        <item x="251"/>
        <item x="317"/>
        <item x="235"/>
        <item x="243"/>
        <item x="244"/>
        <item x="135"/>
        <item x="227"/>
        <item x="278"/>
        <item x="194"/>
        <item x="92"/>
        <item x="273"/>
        <item x="11"/>
        <item x="93"/>
        <item x="138"/>
        <item x="283"/>
        <item x="232"/>
        <item x="153"/>
        <item x="245"/>
        <item x="205"/>
        <item x="111"/>
        <item x="10"/>
        <item x="322"/>
        <item t="default"/>
      </items>
    </pivotField>
    <pivotField showAll="0"/>
    <pivotField showAll="0"/>
    <pivotField showAll="0"/>
  </pivotFields>
  <rowFields count="2">
    <field x="3"/>
    <field x="4"/>
  </rowFields>
  <rowItems count="11">
    <i>
      <x/>
    </i>
    <i r="1">
      <x/>
    </i>
    <i r="1">
      <x v="1"/>
    </i>
    <i r="1">
      <x v="2"/>
    </i>
    <i r="1">
      <x v="3"/>
    </i>
    <i r="1">
      <x v="4"/>
    </i>
    <i r="1">
      <x v="5"/>
    </i>
    <i>
      <x v="1"/>
    </i>
    <i r="1">
      <x v="4"/>
    </i>
    <i r="1">
      <x v="5"/>
    </i>
    <i t="grand">
      <x/>
    </i>
  </rowItems>
  <colItems count="1">
    <i/>
  </colItems>
  <dataFields count="1">
    <dataField name="Sum of Size" fld="5" baseField="0" baseItem="0"/>
  </dataFields>
  <formats count="1">
    <format dxfId="1">
      <pivotArea collapsedLevelsAreSubtotals="1" fieldPosition="0">
        <references count="1">
          <reference field="3" count="0"/>
        </references>
      </pivotArea>
    </format>
  </formats>
  <chartFormats count="36">
    <chartFormat chart="16" format="30" series="1">
      <pivotArea type="data" outline="0" fieldPosition="0">
        <references count="1">
          <reference field="4294967294" count="1" selected="0">
            <x v="0"/>
          </reference>
        </references>
      </pivotArea>
    </chartFormat>
    <chartFormat chart="16" format="31">
      <pivotArea type="data" outline="0" fieldPosition="0">
        <references count="3">
          <reference field="4294967294" count="1" selected="0">
            <x v="0"/>
          </reference>
          <reference field="3" count="1" selected="0">
            <x v="0"/>
          </reference>
          <reference field="4" count="1" selected="0">
            <x v="0"/>
          </reference>
        </references>
      </pivotArea>
    </chartFormat>
    <chartFormat chart="16" format="32">
      <pivotArea type="data" outline="0" fieldPosition="0">
        <references count="3">
          <reference field="4294967294" count="1" selected="0">
            <x v="0"/>
          </reference>
          <reference field="3" count="1" selected="0">
            <x v="0"/>
          </reference>
          <reference field="4" count="1" selected="0">
            <x v="1"/>
          </reference>
        </references>
      </pivotArea>
    </chartFormat>
    <chartFormat chart="16" format="33">
      <pivotArea type="data" outline="0" fieldPosition="0">
        <references count="3">
          <reference field="4294967294" count="1" selected="0">
            <x v="0"/>
          </reference>
          <reference field="3" count="1" selected="0">
            <x v="0"/>
          </reference>
          <reference field="4" count="1" selected="0">
            <x v="2"/>
          </reference>
        </references>
      </pivotArea>
    </chartFormat>
    <chartFormat chart="16" format="34">
      <pivotArea type="data" outline="0" fieldPosition="0">
        <references count="3">
          <reference field="4294967294" count="1" selected="0">
            <x v="0"/>
          </reference>
          <reference field="3" count="1" selected="0">
            <x v="0"/>
          </reference>
          <reference field="4" count="1" selected="0">
            <x v="3"/>
          </reference>
        </references>
      </pivotArea>
    </chartFormat>
    <chartFormat chart="16" format="35">
      <pivotArea type="data" outline="0" fieldPosition="0">
        <references count="3">
          <reference field="4294967294" count="1" selected="0">
            <x v="0"/>
          </reference>
          <reference field="3" count="1" selected="0">
            <x v="0"/>
          </reference>
          <reference field="4" count="1" selected="0">
            <x v="4"/>
          </reference>
        </references>
      </pivotArea>
    </chartFormat>
    <chartFormat chart="16" format="36">
      <pivotArea type="data" outline="0" fieldPosition="0">
        <references count="3">
          <reference field="4294967294" count="1" selected="0">
            <x v="0"/>
          </reference>
          <reference field="3" count="1" selected="0">
            <x v="0"/>
          </reference>
          <reference field="4" count="1" selected="0">
            <x v="5"/>
          </reference>
        </references>
      </pivotArea>
    </chartFormat>
    <chartFormat chart="16" format="37">
      <pivotArea type="data" outline="0" fieldPosition="0">
        <references count="3">
          <reference field="4294967294" count="1" selected="0">
            <x v="0"/>
          </reference>
          <reference field="3" count="1" selected="0">
            <x v="1"/>
          </reference>
          <reference field="4" count="1" selected="0">
            <x v="4"/>
          </reference>
        </references>
      </pivotArea>
    </chartFormat>
    <chartFormat chart="16" format="38">
      <pivotArea type="data" outline="0" fieldPosition="0">
        <references count="3">
          <reference field="4294967294" count="1" selected="0">
            <x v="0"/>
          </reference>
          <reference field="3" count="1" selected="0">
            <x v="1"/>
          </reference>
          <reference field="4" count="1" selected="0">
            <x v="5"/>
          </reference>
        </references>
      </pivotArea>
    </chartFormat>
    <chartFormat chart="13" format="57" series="1">
      <pivotArea type="data" outline="0" fieldPosition="0">
        <references count="1">
          <reference field="4294967294" count="1" selected="0">
            <x v="0"/>
          </reference>
        </references>
      </pivotArea>
    </chartFormat>
    <chartFormat chart="13" format="58">
      <pivotArea type="data" outline="0" fieldPosition="0">
        <references count="3">
          <reference field="4294967294" count="1" selected="0">
            <x v="0"/>
          </reference>
          <reference field="3" count="1" selected="0">
            <x v="0"/>
          </reference>
          <reference field="4" count="1" selected="0">
            <x v="0"/>
          </reference>
        </references>
      </pivotArea>
    </chartFormat>
    <chartFormat chart="13" format="59">
      <pivotArea type="data" outline="0" fieldPosition="0">
        <references count="3">
          <reference field="4294967294" count="1" selected="0">
            <x v="0"/>
          </reference>
          <reference field="3" count="1" selected="0">
            <x v="0"/>
          </reference>
          <reference field="4" count="1" selected="0">
            <x v="1"/>
          </reference>
        </references>
      </pivotArea>
    </chartFormat>
    <chartFormat chart="13" format="60">
      <pivotArea type="data" outline="0" fieldPosition="0">
        <references count="3">
          <reference field="4294967294" count="1" selected="0">
            <x v="0"/>
          </reference>
          <reference field="3" count="1" selected="0">
            <x v="0"/>
          </reference>
          <reference field="4" count="1" selected="0">
            <x v="2"/>
          </reference>
        </references>
      </pivotArea>
    </chartFormat>
    <chartFormat chart="13" format="61">
      <pivotArea type="data" outline="0" fieldPosition="0">
        <references count="3">
          <reference field="4294967294" count="1" selected="0">
            <x v="0"/>
          </reference>
          <reference field="3" count="1" selected="0">
            <x v="0"/>
          </reference>
          <reference field="4" count="1" selected="0">
            <x v="3"/>
          </reference>
        </references>
      </pivotArea>
    </chartFormat>
    <chartFormat chart="13" format="62">
      <pivotArea type="data" outline="0" fieldPosition="0">
        <references count="3">
          <reference field="4294967294" count="1" selected="0">
            <x v="0"/>
          </reference>
          <reference field="3" count="1" selected="0">
            <x v="0"/>
          </reference>
          <reference field="4" count="1" selected="0">
            <x v="4"/>
          </reference>
        </references>
      </pivotArea>
    </chartFormat>
    <chartFormat chart="13" format="63">
      <pivotArea type="data" outline="0" fieldPosition="0">
        <references count="3">
          <reference field="4294967294" count="1" selected="0">
            <x v="0"/>
          </reference>
          <reference field="3" count="1" selected="0">
            <x v="0"/>
          </reference>
          <reference field="4" count="1" selected="0">
            <x v="5"/>
          </reference>
        </references>
      </pivotArea>
    </chartFormat>
    <chartFormat chart="13" format="64">
      <pivotArea type="data" outline="0" fieldPosition="0">
        <references count="3">
          <reference field="4294967294" count="1" selected="0">
            <x v="0"/>
          </reference>
          <reference field="3" count="1" selected="0">
            <x v="1"/>
          </reference>
          <reference field="4" count="1" selected="0">
            <x v="4"/>
          </reference>
        </references>
      </pivotArea>
    </chartFormat>
    <chartFormat chart="13" format="65">
      <pivotArea type="data" outline="0" fieldPosition="0">
        <references count="3">
          <reference field="4294967294" count="1" selected="0">
            <x v="0"/>
          </reference>
          <reference field="3" count="1" selected="0">
            <x v="1"/>
          </reference>
          <reference field="4" count="1" selected="0">
            <x v="5"/>
          </reference>
        </references>
      </pivotArea>
    </chartFormat>
    <chartFormat chart="26" format="66" series="1">
      <pivotArea type="data" outline="0" fieldPosition="0">
        <references count="1">
          <reference field="4294967294" count="1" selected="0">
            <x v="0"/>
          </reference>
        </references>
      </pivotArea>
    </chartFormat>
    <chartFormat chart="26" format="67">
      <pivotArea type="data" outline="0" fieldPosition="0">
        <references count="3">
          <reference field="4294967294" count="1" selected="0">
            <x v="0"/>
          </reference>
          <reference field="3" count="1" selected="0">
            <x v="0"/>
          </reference>
          <reference field="4" count="1" selected="0">
            <x v="0"/>
          </reference>
        </references>
      </pivotArea>
    </chartFormat>
    <chartFormat chart="26" format="68">
      <pivotArea type="data" outline="0" fieldPosition="0">
        <references count="3">
          <reference field="4294967294" count="1" selected="0">
            <x v="0"/>
          </reference>
          <reference field="3" count="1" selected="0">
            <x v="0"/>
          </reference>
          <reference field="4" count="1" selected="0">
            <x v="1"/>
          </reference>
        </references>
      </pivotArea>
    </chartFormat>
    <chartFormat chart="26" format="69">
      <pivotArea type="data" outline="0" fieldPosition="0">
        <references count="3">
          <reference field="4294967294" count="1" selected="0">
            <x v="0"/>
          </reference>
          <reference field="3" count="1" selected="0">
            <x v="0"/>
          </reference>
          <reference field="4" count="1" selected="0">
            <x v="2"/>
          </reference>
        </references>
      </pivotArea>
    </chartFormat>
    <chartFormat chart="26" format="70">
      <pivotArea type="data" outline="0" fieldPosition="0">
        <references count="3">
          <reference field="4294967294" count="1" selected="0">
            <x v="0"/>
          </reference>
          <reference field="3" count="1" selected="0">
            <x v="0"/>
          </reference>
          <reference field="4" count="1" selected="0">
            <x v="3"/>
          </reference>
        </references>
      </pivotArea>
    </chartFormat>
    <chartFormat chart="26" format="71">
      <pivotArea type="data" outline="0" fieldPosition="0">
        <references count="3">
          <reference field="4294967294" count="1" selected="0">
            <x v="0"/>
          </reference>
          <reference field="3" count="1" selected="0">
            <x v="0"/>
          </reference>
          <reference field="4" count="1" selected="0">
            <x v="4"/>
          </reference>
        </references>
      </pivotArea>
    </chartFormat>
    <chartFormat chart="26" format="72">
      <pivotArea type="data" outline="0" fieldPosition="0">
        <references count="3">
          <reference field="4294967294" count="1" selected="0">
            <x v="0"/>
          </reference>
          <reference field="3" count="1" selected="0">
            <x v="0"/>
          </reference>
          <reference field="4" count="1" selected="0">
            <x v="5"/>
          </reference>
        </references>
      </pivotArea>
    </chartFormat>
    <chartFormat chart="26" format="73">
      <pivotArea type="data" outline="0" fieldPosition="0">
        <references count="3">
          <reference field="4294967294" count="1" selected="0">
            <x v="0"/>
          </reference>
          <reference field="3" count="1" selected="0">
            <x v="1"/>
          </reference>
          <reference field="4" count="1" selected="0">
            <x v="4"/>
          </reference>
        </references>
      </pivotArea>
    </chartFormat>
    <chartFormat chart="26" format="74">
      <pivotArea type="data" outline="0" fieldPosition="0">
        <references count="3">
          <reference field="4294967294" count="1" selected="0">
            <x v="0"/>
          </reference>
          <reference field="3" count="1" selected="0">
            <x v="1"/>
          </reference>
          <reference field="4" count="1" selected="0">
            <x v="5"/>
          </reference>
        </references>
      </pivotArea>
    </chartFormat>
    <chartFormat chart="27" format="75" series="1">
      <pivotArea type="data" outline="0" fieldPosition="0">
        <references count="1">
          <reference field="4294967294" count="1" selected="0">
            <x v="0"/>
          </reference>
        </references>
      </pivotArea>
    </chartFormat>
    <chartFormat chart="27" format="76">
      <pivotArea type="data" outline="0" fieldPosition="0">
        <references count="3">
          <reference field="4294967294" count="1" selected="0">
            <x v="0"/>
          </reference>
          <reference field="3" count="1" selected="0">
            <x v="0"/>
          </reference>
          <reference field="4" count="1" selected="0">
            <x v="0"/>
          </reference>
        </references>
      </pivotArea>
    </chartFormat>
    <chartFormat chart="27" format="77">
      <pivotArea type="data" outline="0" fieldPosition="0">
        <references count="3">
          <reference field="4294967294" count="1" selected="0">
            <x v="0"/>
          </reference>
          <reference field="3" count="1" selected="0">
            <x v="0"/>
          </reference>
          <reference field="4" count="1" selected="0">
            <x v="1"/>
          </reference>
        </references>
      </pivotArea>
    </chartFormat>
    <chartFormat chart="27" format="78">
      <pivotArea type="data" outline="0" fieldPosition="0">
        <references count="3">
          <reference field="4294967294" count="1" selected="0">
            <x v="0"/>
          </reference>
          <reference field="3" count="1" selected="0">
            <x v="0"/>
          </reference>
          <reference field="4" count="1" selected="0">
            <x v="2"/>
          </reference>
        </references>
      </pivotArea>
    </chartFormat>
    <chartFormat chart="27" format="79">
      <pivotArea type="data" outline="0" fieldPosition="0">
        <references count="3">
          <reference field="4294967294" count="1" selected="0">
            <x v="0"/>
          </reference>
          <reference field="3" count="1" selected="0">
            <x v="0"/>
          </reference>
          <reference field="4" count="1" selected="0">
            <x v="3"/>
          </reference>
        </references>
      </pivotArea>
    </chartFormat>
    <chartFormat chart="27" format="80">
      <pivotArea type="data" outline="0" fieldPosition="0">
        <references count="3">
          <reference field="4294967294" count="1" selected="0">
            <x v="0"/>
          </reference>
          <reference field="3" count="1" selected="0">
            <x v="0"/>
          </reference>
          <reference field="4" count="1" selected="0">
            <x v="4"/>
          </reference>
        </references>
      </pivotArea>
    </chartFormat>
    <chartFormat chart="27" format="81">
      <pivotArea type="data" outline="0" fieldPosition="0">
        <references count="3">
          <reference field="4294967294" count="1" selected="0">
            <x v="0"/>
          </reference>
          <reference field="3" count="1" selected="0">
            <x v="0"/>
          </reference>
          <reference field="4" count="1" selected="0">
            <x v="5"/>
          </reference>
        </references>
      </pivotArea>
    </chartFormat>
    <chartFormat chart="27" format="82">
      <pivotArea type="data" outline="0" fieldPosition="0">
        <references count="3">
          <reference field="4294967294" count="1" selected="0">
            <x v="0"/>
          </reference>
          <reference field="3" count="1" selected="0">
            <x v="1"/>
          </reference>
          <reference field="4" count="1" selected="0">
            <x v="4"/>
          </reference>
        </references>
      </pivotArea>
    </chartFormat>
    <chartFormat chart="27" format="83">
      <pivotArea type="data" outline="0" fieldPosition="0">
        <references count="3">
          <reference field="4294967294" count="1" selected="0">
            <x v="0"/>
          </reference>
          <reference field="3" count="1" selected="0">
            <x v="1"/>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1AED63-8A55-49A1-BEE3-EF073A03032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5" firstHeaderRow="1" firstDataRow="1" firstDataCol="1"/>
  <pivotFields count="15">
    <pivotField showAll="0"/>
    <pivotField showAll="0"/>
    <pivotField axis="axisRow" showAll="0">
      <items count="142">
        <item x="131"/>
        <item x="23"/>
        <item x="116"/>
        <item x="24"/>
        <item x="77"/>
        <item x="2"/>
        <item x="78"/>
        <item x="21"/>
        <item x="0"/>
        <item x="18"/>
        <item x="1"/>
        <item x="135"/>
        <item x="94"/>
        <item x="106"/>
        <item x="39"/>
        <item x="97"/>
        <item x="80"/>
        <item x="104"/>
        <item x="57"/>
        <item x="133"/>
        <item x="92"/>
        <item x="12"/>
        <item x="52"/>
        <item x="19"/>
        <item x="74"/>
        <item x="22"/>
        <item x="25"/>
        <item x="117"/>
        <item x="134"/>
        <item x="110"/>
        <item x="139"/>
        <item x="34"/>
        <item x="118"/>
        <item x="14"/>
        <item x="37"/>
        <item x="128"/>
        <item x="38"/>
        <item x="119"/>
        <item x="85"/>
        <item x="41"/>
        <item x="40"/>
        <item x="64"/>
        <item x="113"/>
        <item x="86"/>
        <item x="42"/>
        <item x="81"/>
        <item x="9"/>
        <item x="55"/>
        <item x="56"/>
        <item x="109"/>
        <item x="66"/>
        <item x="5"/>
        <item x="136"/>
        <item x="122"/>
        <item x="120"/>
        <item x="61"/>
        <item x="123"/>
        <item x="11"/>
        <item x="43"/>
        <item x="98"/>
        <item x="67"/>
        <item x="93"/>
        <item x="63"/>
        <item x="70"/>
        <item x="71"/>
        <item x="36"/>
        <item x="3"/>
        <item x="44"/>
        <item x="4"/>
        <item x="79"/>
        <item x="62"/>
        <item x="115"/>
        <item x="111"/>
        <item x="100"/>
        <item x="48"/>
        <item x="26"/>
        <item x="75"/>
        <item x="132"/>
        <item x="54"/>
        <item x="82"/>
        <item x="69"/>
        <item x="27"/>
        <item x="87"/>
        <item x="47"/>
        <item x="84"/>
        <item x="45"/>
        <item x="28"/>
        <item x="124"/>
        <item x="16"/>
        <item x="20"/>
        <item x="30"/>
        <item x="101"/>
        <item x="95"/>
        <item x="6"/>
        <item x="59"/>
        <item x="125"/>
        <item x="60"/>
        <item x="96"/>
        <item x="53"/>
        <item x="7"/>
        <item x="50"/>
        <item x="51"/>
        <item x="46"/>
        <item x="102"/>
        <item x="49"/>
        <item x="137"/>
        <item x="88"/>
        <item x="72"/>
        <item x="90"/>
        <item x="31"/>
        <item x="126"/>
        <item x="65"/>
        <item x="114"/>
        <item x="107"/>
        <item x="76"/>
        <item x="121"/>
        <item x="35"/>
        <item x="32"/>
        <item x="99"/>
        <item x="17"/>
        <item x="108"/>
        <item x="91"/>
        <item x="112"/>
        <item x="127"/>
        <item x="68"/>
        <item x="15"/>
        <item x="89"/>
        <item x="73"/>
        <item x="130"/>
        <item x="8"/>
        <item x="10"/>
        <item x="138"/>
        <item x="13"/>
        <item x="103"/>
        <item x="105"/>
        <item x="129"/>
        <item x="58"/>
        <item x="29"/>
        <item x="83"/>
        <item x="33"/>
        <item x="14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dataFields count="1">
    <dataField name="Sum of Volume Drop" fld="14" baseField="0" baseItem="0"/>
  </dataFields>
  <chartFormats count="3">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Description" xr10:uid="{6ED5740B-5F0E-401F-B160-4D58061C9364}" sourceName="Product Description">
  <pivotTables>
    <pivotTable tabId="3" name="PivotTable2"/>
  </pivotTables>
  <data>
    <tabular pivotCacheId="819687057">
      <items count="502">
        <i x="487" s="1"/>
        <i x="488" s="1"/>
        <i x="96" s="1"/>
        <i x="97" s="1"/>
        <i x="100" s="1"/>
        <i x="102" s="1"/>
        <i x="99" s="1"/>
        <i x="101" s="1"/>
        <i x="98" s="1"/>
        <i x="435" s="1"/>
        <i x="103" s="1"/>
        <i x="104" s="1"/>
        <i x="276" s="1"/>
        <i x="277" s="1"/>
        <i x="278" s="1"/>
        <i x="280" s="1"/>
        <i x="281" s="1"/>
        <i x="282" s="1"/>
        <i x="279" s="1"/>
        <i x="283" s="1"/>
        <i x="5" s="1"/>
        <i x="12" s="1"/>
        <i x="25" s="1"/>
        <i x="16" s="1"/>
        <i x="4" s="1"/>
        <i x="6" s="1"/>
        <i x="9" s="1"/>
        <i x="13" s="1"/>
        <i x="26" s="1"/>
        <i x="17" s="1"/>
        <i x="18" s="1"/>
        <i x="10" s="1"/>
        <i x="11" s="1"/>
        <i x="19" s="1"/>
        <i x="20" s="1"/>
        <i x="7" s="1"/>
        <i x="14" s="1"/>
        <i x="2" s="1"/>
        <i x="21" s="1"/>
        <i x="8" s="1"/>
        <i x="22" s="1"/>
        <i x="284" s="1"/>
        <i x="94" s="1"/>
        <i x="0" s="1"/>
        <i x="85" s="1"/>
        <i x="15" s="1"/>
        <i x="23" s="1"/>
        <i x="24" s="1"/>
        <i x="3" s="1"/>
        <i x="285" s="1"/>
        <i x="286" s="1"/>
        <i x="287" s="1"/>
        <i x="1" s="1"/>
        <i x="500" s="1"/>
        <i x="493" s="1"/>
        <i x="316" s="1"/>
        <i x="418" s="1"/>
        <i x="419" s="1"/>
        <i x="139" s="1"/>
        <i x="140" s="1"/>
        <i x="319" s="1"/>
        <i x="320" s="1"/>
        <i x="291" s="1"/>
        <i x="292" s="1"/>
        <i x="289" s="1"/>
        <i x="290" s="1"/>
        <i x="412" s="1"/>
        <i x="413" s="1"/>
        <i x="414" s="1"/>
        <i x="415" s="1"/>
        <i x="194" s="1"/>
        <i x="490" s="1"/>
        <i x="491" s="1"/>
        <i x="314" s="1"/>
        <i x="64" s="1"/>
        <i x="63" s="1"/>
        <i x="170" s="1"/>
        <i x="171" s="1"/>
        <i x="172" s="1"/>
        <i x="86" s="1"/>
        <i x="90" s="1"/>
        <i x="87" s="1"/>
        <i x="91" s="1"/>
        <i x="88" s="1"/>
        <i x="89" s="1"/>
        <i x="92" s="1"/>
        <i x="269" s="1"/>
        <i x="270" s="1"/>
        <i x="271" s="1"/>
        <i x="95" s="1"/>
        <i x="106" s="1"/>
        <i x="105" s="1"/>
        <i x="436" s="1"/>
        <i x="437" s="1"/>
        <i x="438" s="1"/>
        <i x="439" s="1"/>
        <i x="492" s="1"/>
        <i x="423" s="1"/>
        <i x="424" s="1"/>
        <i x="498" s="1"/>
        <i x="499" s="1"/>
        <i x="126" s="1"/>
        <i x="440" s="1"/>
        <i x="442" s="1"/>
        <i x="443" s="1"/>
        <i x="441" s="1"/>
        <i x="66" s="1"/>
        <i x="67" s="1"/>
        <i x="72" s="1"/>
        <i x="70" s="1"/>
        <i x="71" s="1"/>
        <i x="73" s="1"/>
        <i x="74" s="1"/>
        <i x="68" s="1"/>
        <i x="75" s="1"/>
        <i x="69" s="1"/>
        <i x="76" s="1"/>
        <i x="135" s="1"/>
        <i x="133" s="1"/>
        <i x="134" s="1"/>
        <i x="136" s="1"/>
        <i x="480" s="1"/>
        <i x="481" s="1"/>
        <i x="137" s="1"/>
        <i x="138" s="1"/>
        <i x="444" s="1"/>
        <i x="325" s="1"/>
        <i x="326" s="1"/>
        <i x="327" s="1"/>
        <i x="302" s="1"/>
        <i x="300" s="1"/>
        <i x="303" s="1"/>
        <i x="311" s="1"/>
        <i x="299" s="1"/>
        <i x="328" s="1"/>
        <i x="301" s="1"/>
        <i x="150" s="1"/>
        <i x="144" s="1"/>
        <i x="145" s="1"/>
        <i x="146" s="1"/>
        <i x="147" s="1"/>
        <i x="143" s="1"/>
        <i x="148" s="1"/>
        <i x="149" s="1"/>
        <i x="151" s="1"/>
        <i x="142" s="1"/>
        <i x="141" s="1"/>
        <i x="212" s="1"/>
        <i x="211" s="1"/>
        <i x="429" s="1"/>
        <i x="430" s="1"/>
        <i x="304" s="1"/>
        <i x="305" s="1"/>
        <i x="152" s="1"/>
        <i x="293" s="1"/>
        <i x="55" s="1"/>
        <i x="182" s="1"/>
        <i x="184" s="1"/>
        <i x="183" s="1"/>
        <i x="185" s="1"/>
        <i x="188" s="1"/>
        <i x="189" s="1"/>
        <i x="186" s="1"/>
        <i x="190" s="1"/>
        <i x="187" s="1"/>
        <i x="191" s="1"/>
        <i x="192" s="1"/>
        <i x="193" s="1"/>
        <i x="422" s="1"/>
        <i x="222" s="1"/>
        <i x="223" s="1"/>
        <i x="218" s="1"/>
        <i x="224" s="1"/>
        <i x="219" s="1"/>
        <i x="220" s="1"/>
        <i x="221" s="1"/>
        <i x="42" s="1"/>
        <i x="494" s="1"/>
        <i x="466" s="1"/>
        <i x="447" s="1"/>
        <i x="445" s="1"/>
        <i x="446" s="1"/>
        <i x="448" s="1"/>
        <i x="449" s="1"/>
        <i x="450" s="1"/>
        <i x="203" s="1"/>
        <i x="204" s="1"/>
        <i x="202" s="1"/>
        <i x="205" s="1"/>
        <i x="207" s="1"/>
        <i x="208" s="1"/>
        <i x="206" s="1"/>
        <i x="467" s="1"/>
        <i x="61" s="1"/>
        <i x="60" s="1"/>
        <i x="62" s="1"/>
        <i x="153" s="1"/>
        <i x="321" s="1"/>
        <i x="322" s="1"/>
        <i x="323" s="1"/>
        <i x="324" s="1"/>
        <i x="226" s="1"/>
        <i x="225" s="1"/>
        <i x="315" s="1"/>
        <i x="210" s="1"/>
        <i x="127" s="1"/>
        <i x="236" s="1"/>
        <i x="255" s="1"/>
        <i x="256" s="1"/>
        <i x="237" s="1"/>
        <i x="243" s="1"/>
        <i x="252" s="1"/>
        <i x="263" s="1"/>
        <i x="244" s="1"/>
        <i x="238" s="1"/>
        <i x="245" s="1"/>
        <i x="257" s="1"/>
        <i x="266" s="1"/>
        <i x="246" s="1"/>
        <i x="239" s="1"/>
        <i x="240" s="1"/>
        <i x="247" s="1"/>
        <i x="258" s="1"/>
        <i x="259" s="1"/>
        <i x="253" s="1"/>
        <i x="260" s="1"/>
        <i x="241" s="1"/>
        <i x="248" s="1"/>
        <i x="264" s="1"/>
        <i x="251" s="1"/>
        <i x="261" s="1"/>
        <i x="262" s="1"/>
        <i x="265" s="1"/>
        <i x="242" s="1"/>
        <i x="249" s="1"/>
        <i x="250" s="1"/>
        <i x="254" s="1"/>
        <i x="129" s="1"/>
        <i x="130" s="1"/>
        <i x="131" s="1"/>
        <i x="132" s="1"/>
        <i x="28" s="1"/>
        <i x="29" s="1"/>
        <i x="30" s="1"/>
        <i x="31" s="1"/>
        <i x="32" s="1"/>
        <i x="33" s="1"/>
        <i x="34" s="1"/>
        <i x="35" s="1"/>
        <i x="39" s="1"/>
        <i x="36" s="1"/>
        <i x="37" s="1"/>
        <i x="27" s="1"/>
        <i x="38" s="1"/>
        <i x="154" s="1"/>
        <i x="41" s="1"/>
        <i x="40" s="1"/>
        <i x="288" s="1"/>
        <i x="209" s="1"/>
        <i x="433" s="1"/>
        <i x="434" s="1"/>
        <i x="426" s="1"/>
        <i x="427" s="1"/>
        <i x="425" s="1"/>
        <i x="330" s="1"/>
        <i x="163" s="1"/>
        <i x="107" s="1"/>
        <i x="272" s="1"/>
        <i x="273" s="1"/>
        <i x="274" s="1"/>
        <i x="489" s="1"/>
        <i x="175" s="1"/>
        <i x="176" s="1"/>
        <i x="177" s="1"/>
        <i x="178" s="1"/>
        <i x="179" s="1"/>
        <i x="180" s="1"/>
        <i x="181" s="1"/>
        <i x="294" s="1"/>
        <i x="228" s="1"/>
        <i x="229" s="1"/>
        <i x="232" s="1"/>
        <i x="233" s="1"/>
        <i x="234" s="1"/>
        <i x="235" s="1"/>
        <i x="230" s="1"/>
        <i x="231" s="1"/>
        <i x="108" s="1"/>
        <i x="109" s="1"/>
        <i x="306" s="1"/>
        <i x="162" s="1"/>
        <i x="297" s="1"/>
        <i x="298" s="1"/>
        <i x="157" s="1"/>
        <i x="158" s="1"/>
        <i x="155" s="1"/>
        <i x="156" s="1"/>
        <i x="159" s="1"/>
        <i x="110" s="1"/>
        <i x="468" s="1"/>
        <i x="81" s="1"/>
        <i x="82" s="1"/>
        <i x="79" s="1"/>
        <i x="83" s="1"/>
        <i x="80" s="1"/>
        <i x="93" s="1"/>
        <i x="113" s="1"/>
        <i x="406" s="1"/>
        <i x="338" s="1"/>
        <i x="339" s="1"/>
        <i x="331" s="1"/>
        <i x="332" s="1"/>
        <i x="333" s="1"/>
        <i x="340" s="1"/>
        <i x="341" s="1"/>
        <i x="336" s="1"/>
        <i x="386" s="1"/>
        <i x="342" s="1"/>
        <i x="343" s="1"/>
        <i x="387" s="1"/>
        <i x="344" s="1"/>
        <i x="345" s="1"/>
        <i x="346" s="1"/>
        <i x="347" s="1"/>
        <i x="348" s="1"/>
        <i x="349" s="1"/>
        <i x="350" s="1"/>
        <i x="351" s="1"/>
        <i x="352" s="1"/>
        <i x="353" s="1"/>
        <i x="354" s="1"/>
        <i x="355" s="1"/>
        <i x="356" s="1"/>
        <i x="357" s="1"/>
        <i x="358" s="1"/>
        <i x="359" s="1"/>
        <i x="360" s="1"/>
        <i x="361" s="1"/>
        <i x="362" s="1"/>
        <i x="388" s="1"/>
        <i x="389" s="1"/>
        <i x="390" s="1"/>
        <i x="363" s="1"/>
        <i x="391" s="1"/>
        <i x="364" s="1"/>
        <i x="365" s="1"/>
        <i x="400" s="1"/>
        <i x="392" s="1"/>
        <i x="393" s="1"/>
        <i x="394" s="1"/>
        <i x="395" s="1"/>
        <i x="402" s="1"/>
        <i x="403" s="1"/>
        <i x="396" s="1"/>
        <i x="397" s="1"/>
        <i x="398" s="1"/>
        <i x="399" s="1"/>
        <i x="404" s="1"/>
        <i x="405" s="1"/>
        <i x="371" s="1"/>
        <i x="372" s="1"/>
        <i x="370" s="1"/>
        <i x="373" s="1"/>
        <i x="374" s="1"/>
        <i x="375" s="1"/>
        <i x="376" s="1"/>
        <i x="377" s="1"/>
        <i x="378" s="1"/>
        <i x="379" s="1"/>
        <i x="380" s="1"/>
        <i x="407" s="1"/>
        <i x="381" s="1"/>
        <i x="334" s="1"/>
        <i x="382" s="1"/>
        <i x="335" s="1"/>
        <i x="366" s="1"/>
        <i x="367" s="1"/>
        <i x="368" s="1"/>
        <i x="369" s="1"/>
        <i x="401" s="1"/>
        <i x="383" s="1"/>
        <i x="384" s="1"/>
        <i x="385" s="1"/>
        <i x="337" s="1"/>
        <i x="317" s="1"/>
        <i x="43" s="1"/>
        <i x="44" s="1"/>
        <i x="45" s="1"/>
        <i x="46" s="1"/>
        <i x="50" s="1"/>
        <i x="47" s="1"/>
        <i x="48" s="1"/>
        <i x="49" s="1"/>
        <i x="51" s="1"/>
        <i x="200" s="1"/>
        <i x="469" s="1"/>
        <i x="470" s="1"/>
        <i x="471" s="1"/>
        <i x="201" s="1"/>
        <i x="318" s="1"/>
        <i x="173" s="1"/>
        <i x="174" s="1"/>
        <i x="52" s="1"/>
        <i x="53" s="1"/>
        <i x="166" s="1"/>
        <i x="167" s="1"/>
        <i x="168" s="1"/>
        <i x="169" s="1"/>
        <i x="160" s="1"/>
        <i x="409" s="1"/>
        <i x="408" s="1"/>
        <i x="165" s="1"/>
        <i x="164" s="1"/>
        <i x="495" s="1"/>
        <i x="496" s="1"/>
        <i x="307" s="1"/>
        <i x="312" s="1"/>
        <i x="267" s="1"/>
        <i x="114" s="1"/>
        <i x="161" s="1"/>
        <i x="216" s="1"/>
        <i x="474" s="1"/>
        <i x="475" s="1"/>
        <i x="477" s="1"/>
        <i x="478" s="1"/>
        <i x="472" s="1"/>
        <i x="473" s="1"/>
        <i x="476" s="1"/>
        <i x="217" s="1"/>
        <i x="214" s="1"/>
        <i x="215" s="1"/>
        <i x="213" s="1"/>
        <i x="432" s="1"/>
        <i x="431" s="1"/>
        <i x="420" s="1"/>
        <i x="275" s="1"/>
        <i x="457" s="1"/>
        <i x="452" s="1"/>
        <i x="451" s="1"/>
        <i x="456" s="1"/>
        <i x="464" s="1"/>
        <i x="465" s="1"/>
        <i x="453" s="1"/>
        <i x="458" s="1"/>
        <i x="459" s="1"/>
        <i x="460" s="1"/>
        <i x="463" s="1"/>
        <i x="454" s="1"/>
        <i x="461" s="1"/>
        <i x="455" s="1"/>
        <i x="462" s="1"/>
        <i x="128" s="1"/>
        <i x="123" s="1"/>
        <i x="116" s="1"/>
        <i x="117" s="1"/>
        <i x="121" s="1"/>
        <i x="118" s="1"/>
        <i x="119" s="1"/>
        <i x="122" s="1"/>
        <i x="115" s="1"/>
        <i x="120" s="1"/>
        <i x="329" s="1"/>
        <i x="84" s="1"/>
        <i x="421" s="1"/>
        <i x="313" s="1"/>
        <i x="428" s="1"/>
        <i x="479" s="1"/>
        <i x="227" s="1"/>
        <i x="77" s="1"/>
        <i x="78" s="1"/>
        <i x="309" s="1"/>
        <i x="308" s="1"/>
        <i x="310" s="1"/>
        <i x="268" s="1"/>
        <i x="486" s="1"/>
        <i x="54" s="1"/>
        <i x="56" s="1"/>
        <i x="58" s="1"/>
        <i x="57" s="1"/>
        <i x="59" s="1"/>
        <i x="497" s="1"/>
        <i x="65" s="1"/>
        <i x="410" s="1"/>
        <i x="411" s="1"/>
        <i x="416" s="1"/>
        <i x="417" s="1"/>
        <i x="484" s="1"/>
        <i x="483" s="1"/>
        <i x="485" s="1"/>
        <i x="482" s="1"/>
        <i x="195" s="1"/>
        <i x="196" s="1"/>
        <i x="197" s="1"/>
        <i x="198" s="1"/>
        <i x="199" s="1"/>
        <i x="111" s="1"/>
        <i x="112" s="1"/>
        <i x="295" s="1"/>
        <i x="296" s="1"/>
        <i x="124" s="1"/>
        <i x="125" s="1"/>
        <i x="50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3A3777AF-80FD-4F40-A513-7FC3B255378A}" sourceName="Manufacturer">
  <pivotTables>
    <pivotTable tabId="3" name="PivotTable2"/>
  </pivotTables>
  <data>
    <tabular pivotCacheId="819687057">
      <items count="99">
        <i x="15" s="1"/>
        <i x="5" s="1"/>
        <i x="7" s="1"/>
        <i x="6" s="1"/>
        <i x="9" s="1"/>
        <i x="12" s="1"/>
        <i x="33" s="1"/>
        <i x="13" s="1"/>
        <i x="1" s="1"/>
        <i x="16" s="1"/>
        <i x="90" s="1"/>
        <i x="4" s="1"/>
        <i x="45" s="1"/>
        <i x="44" s="1"/>
        <i x="40" s="1"/>
        <i x="20" s="1"/>
        <i x="35" s="1"/>
        <i x="18" s="1"/>
        <i x="19" s="1"/>
        <i x="77" s="1"/>
        <i x="49" s="1"/>
        <i x="21" s="1"/>
        <i x="22" s="1"/>
        <i x="10" s="1"/>
        <i x="65" s="1"/>
        <i x="11" s="1"/>
        <i x="67" s="1"/>
        <i x="23" s="1"/>
        <i x="24" s="1"/>
        <i x="25" s="1"/>
        <i x="27" s="1"/>
        <i x="80" s="1"/>
        <i x="28" s="1"/>
        <i x="70" s="1"/>
        <i x="29" s="1"/>
        <i x="93" s="1"/>
        <i x="8" s="1"/>
        <i x="30" s="1"/>
        <i x="56" s="1"/>
        <i x="54" s="1"/>
        <i x="31" s="1"/>
        <i x="97" s="1"/>
        <i x="88" s="1"/>
        <i x="68" s="1"/>
        <i x="39" s="1"/>
        <i x="3" s="1"/>
        <i x="41" s="1"/>
        <i x="43" s="1"/>
        <i x="47" s="1"/>
        <i x="50" s="1"/>
        <i x="51" s="1"/>
        <i x="52" s="1"/>
        <i x="53" s="1"/>
        <i x="36" s="1"/>
        <i x="86" s="1"/>
        <i x="57" s="1"/>
        <i x="58" s="1"/>
        <i x="59" s="1"/>
        <i x="37" s="1"/>
        <i x="60" s="1"/>
        <i x="0" s="1"/>
        <i x="62" s="1"/>
        <i x="48" s="1"/>
        <i x="64" s="1"/>
        <i x="63" s="1"/>
        <i x="66" s="1"/>
        <i x="69" s="1"/>
        <i x="72" s="1"/>
        <i x="55" s="1"/>
        <i x="74" s="1"/>
        <i x="73" s="1"/>
        <i x="75" s="1"/>
        <i x="14" s="1"/>
        <i x="71" s="1"/>
        <i x="87" s="1"/>
        <i x="89" s="1"/>
        <i x="76" s="1"/>
        <i x="34" s="1"/>
        <i x="78" s="1"/>
        <i x="79" s="1"/>
        <i x="26" s="1"/>
        <i x="82" s="1"/>
        <i x="84" s="1"/>
        <i x="85" s="1"/>
        <i x="81" s="1"/>
        <i x="83" s="1"/>
        <i x="46" s="1"/>
        <i x="32" s="1"/>
        <i x="38" s="1"/>
        <i x="91" s="1"/>
        <i x="92" s="1"/>
        <i x="42" s="1"/>
        <i x="17" s="1"/>
        <i x="94" s="1"/>
        <i x="95" s="1"/>
        <i x="96" s="1"/>
        <i x="2" s="1"/>
        <i x="61" s="1"/>
        <i x="9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A200B5ED-E1D5-4DAE-A891-0C82F2FA2AAA}" sourceName="Brand">
  <pivotTables>
    <pivotTable tabId="3" name="PivotTable2"/>
  </pivotTables>
  <data>
    <tabular pivotCacheId="819687057">
      <items count="141">
        <i x="131" s="1"/>
        <i x="23" s="1"/>
        <i x="116" s="1"/>
        <i x="24" s="1"/>
        <i x="77" s="1"/>
        <i x="2" s="1"/>
        <i x="78" s="1"/>
        <i x="21" s="1"/>
        <i x="0" s="1"/>
        <i x="18" s="1"/>
        <i x="1" s="1"/>
        <i x="135" s="1"/>
        <i x="94" s="1"/>
        <i x="106" s="1"/>
        <i x="39" s="1"/>
        <i x="97" s="1"/>
        <i x="80" s="1"/>
        <i x="104" s="1"/>
        <i x="57" s="1"/>
        <i x="133" s="1"/>
        <i x="92" s="1"/>
        <i x="12" s="1"/>
        <i x="52" s="1"/>
        <i x="19" s="1"/>
        <i x="74" s="1"/>
        <i x="22" s="1"/>
        <i x="25" s="1"/>
        <i x="117" s="1"/>
        <i x="134" s="1"/>
        <i x="110" s="1"/>
        <i x="139" s="1"/>
        <i x="34" s="1"/>
        <i x="118" s="1"/>
        <i x="14" s="1"/>
        <i x="37" s="1"/>
        <i x="128" s="1"/>
        <i x="38" s="1"/>
        <i x="119" s="1"/>
        <i x="85" s="1"/>
        <i x="41" s="1"/>
        <i x="40" s="1"/>
        <i x="64" s="1"/>
        <i x="113" s="1"/>
        <i x="86" s="1"/>
        <i x="42" s="1"/>
        <i x="81" s="1"/>
        <i x="9" s="1"/>
        <i x="55" s="1"/>
        <i x="56" s="1"/>
        <i x="109" s="1"/>
        <i x="66" s="1"/>
        <i x="5" s="1"/>
        <i x="136" s="1"/>
        <i x="122" s="1"/>
        <i x="120" s="1"/>
        <i x="61" s="1"/>
        <i x="123" s="1"/>
        <i x="11" s="1"/>
        <i x="43" s="1"/>
        <i x="98" s="1"/>
        <i x="67" s="1"/>
        <i x="93" s="1"/>
        <i x="63" s="1"/>
        <i x="70" s="1"/>
        <i x="71" s="1"/>
        <i x="36" s="1"/>
        <i x="3" s="1"/>
        <i x="44" s="1"/>
        <i x="4" s="1"/>
        <i x="79" s="1"/>
        <i x="62" s="1"/>
        <i x="115" s="1"/>
        <i x="111" s="1"/>
        <i x="100" s="1"/>
        <i x="48" s="1"/>
        <i x="26" s="1"/>
        <i x="75" s="1"/>
        <i x="132" s="1"/>
        <i x="54" s="1"/>
        <i x="82" s="1"/>
        <i x="69" s="1"/>
        <i x="27" s="1"/>
        <i x="87" s="1"/>
        <i x="47" s="1"/>
        <i x="84" s="1"/>
        <i x="45" s="1"/>
        <i x="28" s="1"/>
        <i x="124" s="1"/>
        <i x="16" s="1"/>
        <i x="20" s="1"/>
        <i x="30" s="1"/>
        <i x="101" s="1"/>
        <i x="95" s="1"/>
        <i x="6" s="1"/>
        <i x="59" s="1"/>
        <i x="125" s="1"/>
        <i x="60" s="1"/>
        <i x="96" s="1"/>
        <i x="53" s="1"/>
        <i x="7" s="1"/>
        <i x="50" s="1"/>
        <i x="51" s="1"/>
        <i x="46" s="1"/>
        <i x="102" s="1"/>
        <i x="49" s="1"/>
        <i x="137" s="1"/>
        <i x="88" s="1"/>
        <i x="72" s="1"/>
        <i x="90" s="1"/>
        <i x="31" s="1"/>
        <i x="126" s="1"/>
        <i x="65" s="1"/>
        <i x="114" s="1"/>
        <i x="107" s="1"/>
        <i x="76" s="1"/>
        <i x="121" s="1"/>
        <i x="35" s="1"/>
        <i x="32" s="1"/>
        <i x="99" s="1"/>
        <i x="17" s="1"/>
        <i x="108" s="1"/>
        <i x="91" s="1"/>
        <i x="112" s="1"/>
        <i x="127" s="1"/>
        <i x="68" s="1"/>
        <i x="15" s="1"/>
        <i x="89" s="1"/>
        <i x="73" s="1"/>
        <i x="130" s="1"/>
        <i x="8" s="1"/>
        <i x="10" s="1"/>
        <i x="138" s="1"/>
        <i x="13" s="1"/>
        <i x="103" s="1"/>
        <i x="105" s="1"/>
        <i x="129" s="1"/>
        <i x="58" s="1"/>
        <i x="29" s="1"/>
        <i x="83" s="1"/>
        <i x="33" s="1"/>
        <i x="14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 xr10:uid="{A86104F1-A09F-427C-A303-E6F2A019475D}" sourceName="Package">
  <pivotTables>
    <pivotTable tabId="3" name="PivotTable2"/>
  </pivotTables>
  <data>
    <tabular pivotCacheId="819687057">
      <items count="3">
        <i x="0" s="1"/>
        <i x="1"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Attributes" xr10:uid="{03B5BC70-9E17-4A5C-93CB-BFD3DE5E0A75}" sourceName="Product Attributes">
  <pivotTables>
    <pivotTable tabId="3" name="PivotTable2"/>
  </pivotTables>
  <data>
    <tabular pivotCacheId="819687057">
      <items count="7">
        <i x="2" s="1"/>
        <i x="5" s="1"/>
        <i x="4" s="1"/>
        <i x="1" s="1"/>
        <i x="3" s="1"/>
        <i x="0"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Description" xr10:uid="{A340DCB3-BC73-429D-8D79-0B4FF463FB22}" cache="Slicer_Product_Description" caption="Product Description" startItem="7" style="SlicerStyleLight3" rowHeight="234950"/>
  <slicer name="Manufacturer" xr10:uid="{4C392B42-6B11-4AC4-ADCC-DC2ED51C9CCE}" cache="Slicer_Manufacturer" caption="Manufacturer" startItem="16" style="SlicerStyleLight3" rowHeight="234950"/>
  <slicer name="Brand" xr10:uid="{24339EF3-FDF5-4172-B942-A50125096153}" cache="Slicer_Brand" caption="Brand" startItem="31" style="SlicerStyleLight3" rowHeight="234950"/>
  <slicer name="Package" xr10:uid="{6FA3A5F4-FBB8-4B36-8117-F8252777612C}" cache="Slicer_Package" caption="Package" style="SlicerStyleLight3" rowHeight="234950"/>
  <slicer name="Product Attributes" xr10:uid="{C7ACA141-FD93-49D1-B290-2F5598150F65}" cache="Slicer_Product_Attributes" caption="Product Attributes" startItem="1" style="SlicerStyleLight3"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F74C2-8794-4088-8B17-C411BAB05EE5}">
  <sheetPr>
    <tabColor rgb="FF0066FF"/>
  </sheetPr>
  <dimension ref="A1:P502"/>
  <sheetViews>
    <sheetView workbookViewId="0">
      <selection sqref="A1:XFD1048576"/>
    </sheetView>
  </sheetViews>
  <sheetFormatPr defaultRowHeight="14.4" x14ac:dyDescent="0.3"/>
  <cols>
    <col min="1" max="1" width="51.5546875" style="22" bestFit="1" customWidth="1"/>
    <col min="2" max="2" width="16.21875" style="22" customWidth="1"/>
    <col min="3" max="3" width="17.6640625" style="5" customWidth="1"/>
    <col min="4" max="5" width="21.6640625" style="22" customWidth="1"/>
    <col min="6" max="6" width="21.6640625" style="20" customWidth="1"/>
    <col min="7" max="12" width="12.6640625" style="22" customWidth="1"/>
    <col min="13" max="14" width="17.77734375" style="22" customWidth="1"/>
    <col min="15" max="15" width="31.88671875" style="22" customWidth="1"/>
    <col min="16" max="16" width="26.77734375" style="22" customWidth="1"/>
    <col min="17" max="16384" width="8.88671875" style="22"/>
  </cols>
  <sheetData>
    <row r="1" spans="1:16" s="17" customFormat="1" ht="33" customHeight="1" x14ac:dyDescent="0.25">
      <c r="A1" s="12" t="s">
        <v>758</v>
      </c>
      <c r="B1" s="12" t="s">
        <v>614</v>
      </c>
      <c r="C1" s="13" t="s">
        <v>615</v>
      </c>
      <c r="D1" s="14" t="s">
        <v>755</v>
      </c>
      <c r="E1" s="14" t="s">
        <v>756</v>
      </c>
      <c r="F1" s="15" t="s">
        <v>757</v>
      </c>
      <c r="G1" s="16" t="s">
        <v>608</v>
      </c>
      <c r="H1" s="16" t="s">
        <v>609</v>
      </c>
      <c r="I1" s="16" t="s">
        <v>610</v>
      </c>
      <c r="J1" s="16" t="s">
        <v>611</v>
      </c>
      <c r="K1" s="16" t="s">
        <v>612</v>
      </c>
      <c r="L1" s="16" t="s">
        <v>613</v>
      </c>
      <c r="M1" s="17" t="s">
        <v>766</v>
      </c>
      <c r="N1" s="17" t="s">
        <v>767</v>
      </c>
      <c r="O1" s="17" t="s">
        <v>771</v>
      </c>
      <c r="P1" s="17" t="s">
        <v>772</v>
      </c>
    </row>
    <row r="2" spans="1:16" ht="15" customHeight="1" x14ac:dyDescent="0.3">
      <c r="A2" s="7" t="s">
        <v>0</v>
      </c>
      <c r="B2" s="7" t="s">
        <v>496</v>
      </c>
      <c r="C2" s="3" t="s">
        <v>725</v>
      </c>
      <c r="D2" s="8" t="s">
        <v>1</v>
      </c>
      <c r="E2" s="8" t="s">
        <v>2</v>
      </c>
      <c r="F2" s="6">
        <v>20</v>
      </c>
      <c r="G2" s="2">
        <v>1.9350000000000001</v>
      </c>
      <c r="H2" s="2">
        <v>0.624</v>
      </c>
      <c r="I2" s="2">
        <v>0</v>
      </c>
      <c r="J2" s="2">
        <v>24.822900000000001</v>
      </c>
      <c r="K2" s="2">
        <v>9.4085999999999999</v>
      </c>
      <c r="L2" s="2">
        <v>0</v>
      </c>
      <c r="M2" s="20" t="str">
        <f>IF(OR(G2=0, H2=0), "0.00", TEXT((H2-G2)/G2*100, "0.00"))</f>
        <v>-67.75</v>
      </c>
      <c r="N2" s="21">
        <f>G2-H2</f>
        <v>1.3109999999999999</v>
      </c>
      <c r="O2" s="21">
        <f>K2-L2</f>
        <v>9.4085999999999999</v>
      </c>
      <c r="P2" s="21">
        <f>J2-K2</f>
        <v>15.414300000000001</v>
      </c>
    </row>
    <row r="3" spans="1:16" ht="15" customHeight="1" x14ac:dyDescent="0.3">
      <c r="A3" s="7" t="s">
        <v>3</v>
      </c>
      <c r="B3" s="7" t="s">
        <v>497</v>
      </c>
      <c r="C3" s="3" t="s">
        <v>726</v>
      </c>
      <c r="D3" s="8" t="s">
        <v>1</v>
      </c>
      <c r="E3" s="8" t="s">
        <v>2</v>
      </c>
      <c r="F3" s="6">
        <v>80</v>
      </c>
      <c r="G3" s="2">
        <v>1.09E-2</v>
      </c>
      <c r="H3" s="2">
        <v>0</v>
      </c>
      <c r="I3" s="2">
        <v>0</v>
      </c>
      <c r="J3" s="2">
        <v>0.16</v>
      </c>
      <c r="K3" s="2">
        <v>0</v>
      </c>
      <c r="L3" s="2">
        <v>0</v>
      </c>
      <c r="M3" s="20" t="str">
        <f t="shared" ref="M3:M66" si="0">IF(OR(G3=0, H3=0), "0.00", TEXT((H3-G3)/G3*100, "0.00"))</f>
        <v>0.00</v>
      </c>
      <c r="N3" s="21">
        <f t="shared" ref="N3:N66" si="1">G3-H3</f>
        <v>1.09E-2</v>
      </c>
      <c r="O3" s="21">
        <f t="shared" ref="O3:O66" si="2">K3-L3</f>
        <v>0</v>
      </c>
      <c r="P3" s="21">
        <f t="shared" ref="P3:P66" si="3">J3-K3</f>
        <v>0.16</v>
      </c>
    </row>
    <row r="4" spans="1:16" ht="15" customHeight="1" x14ac:dyDescent="0.3">
      <c r="A4" s="7" t="s">
        <v>4</v>
      </c>
      <c r="B4" s="7" t="s">
        <v>498</v>
      </c>
      <c r="C4" s="3" t="s">
        <v>616</v>
      </c>
      <c r="D4" s="8" t="s">
        <v>1</v>
      </c>
      <c r="E4" s="8" t="s">
        <v>5</v>
      </c>
      <c r="F4" s="6">
        <v>100</v>
      </c>
      <c r="G4" s="2">
        <v>81.467399999999998</v>
      </c>
      <c r="H4" s="2">
        <v>92.903000000000006</v>
      </c>
      <c r="I4" s="2">
        <v>52.511899999999997</v>
      </c>
      <c r="J4" s="2">
        <v>2980.7042999999999</v>
      </c>
      <c r="K4" s="2">
        <v>3415.3553999999999</v>
      </c>
      <c r="L4" s="2">
        <v>1823.0734</v>
      </c>
      <c r="M4" s="20" t="str">
        <f t="shared" si="0"/>
        <v>14.04</v>
      </c>
      <c r="N4" s="21">
        <f t="shared" si="1"/>
        <v>-11.435600000000008</v>
      </c>
      <c r="O4" s="21">
        <f t="shared" si="2"/>
        <v>1592.2819999999999</v>
      </c>
      <c r="P4" s="21">
        <f t="shared" si="3"/>
        <v>-434.65110000000004</v>
      </c>
    </row>
    <row r="5" spans="1:16" ht="15" customHeight="1" x14ac:dyDescent="0.3">
      <c r="A5" s="7" t="s">
        <v>6</v>
      </c>
      <c r="B5" s="7" t="s">
        <v>498</v>
      </c>
      <c r="C5" s="3" t="s">
        <v>616</v>
      </c>
      <c r="D5" s="8" t="s">
        <v>1</v>
      </c>
      <c r="E5" s="8" t="s">
        <v>5</v>
      </c>
      <c r="F5" s="6">
        <v>100</v>
      </c>
      <c r="G5" s="2">
        <v>165.22800000000001</v>
      </c>
      <c r="H5" s="2">
        <v>172.68430000000001</v>
      </c>
      <c r="I5" s="2">
        <v>91.1357</v>
      </c>
      <c r="J5" s="2">
        <v>5930.9056</v>
      </c>
      <c r="K5" s="2">
        <v>6183.6273000000001</v>
      </c>
      <c r="L5" s="2">
        <v>3125.7986999999998</v>
      </c>
      <c r="M5" s="20" t="str">
        <f t="shared" si="0"/>
        <v>4.51</v>
      </c>
      <c r="N5" s="21">
        <f t="shared" si="1"/>
        <v>-7.4562999999999988</v>
      </c>
      <c r="O5" s="21">
        <f t="shared" si="2"/>
        <v>3057.8286000000003</v>
      </c>
      <c r="P5" s="21">
        <f t="shared" si="3"/>
        <v>-252.72170000000006</v>
      </c>
    </row>
    <row r="6" spans="1:16" ht="15" customHeight="1" x14ac:dyDescent="0.3">
      <c r="A6" s="7" t="s">
        <v>7</v>
      </c>
      <c r="B6" s="7" t="s">
        <v>498</v>
      </c>
      <c r="C6" s="3" t="s">
        <v>616</v>
      </c>
      <c r="D6" s="8" t="s">
        <v>1</v>
      </c>
      <c r="E6" s="8" t="s">
        <v>5</v>
      </c>
      <c r="F6" s="6">
        <v>120</v>
      </c>
      <c r="G6" s="2">
        <v>842.87239999999997</v>
      </c>
      <c r="H6" s="2">
        <v>745.33579999999995</v>
      </c>
      <c r="I6" s="2">
        <v>366.95890000000003</v>
      </c>
      <c r="J6" s="2">
        <v>38888.539799999999</v>
      </c>
      <c r="K6" s="2">
        <v>31985.000499999998</v>
      </c>
      <c r="L6" s="2">
        <v>14135.173000000001</v>
      </c>
      <c r="M6" s="20" t="str">
        <f t="shared" si="0"/>
        <v>-11.57</v>
      </c>
      <c r="N6" s="21">
        <f t="shared" si="1"/>
        <v>97.536600000000021</v>
      </c>
      <c r="O6" s="21">
        <f t="shared" si="2"/>
        <v>17849.827499999999</v>
      </c>
      <c r="P6" s="21">
        <f t="shared" si="3"/>
        <v>6903.5393000000004</v>
      </c>
    </row>
    <row r="7" spans="1:16" ht="15" customHeight="1" x14ac:dyDescent="0.3">
      <c r="A7" s="7" t="s">
        <v>8</v>
      </c>
      <c r="B7" s="7" t="s">
        <v>498</v>
      </c>
      <c r="C7" s="3" t="s">
        <v>616</v>
      </c>
      <c r="D7" s="8" t="s">
        <v>1</v>
      </c>
      <c r="E7" s="8" t="s">
        <v>2</v>
      </c>
      <c r="F7" s="6">
        <v>15</v>
      </c>
      <c r="G7" s="2">
        <v>12.774800000000001</v>
      </c>
      <c r="H7" s="2">
        <v>10.866</v>
      </c>
      <c r="I7" s="2">
        <v>6.7743000000000002</v>
      </c>
      <c r="J7" s="2">
        <v>151.26679999999999</v>
      </c>
      <c r="K7" s="2">
        <v>127.18680000000001</v>
      </c>
      <c r="L7" s="2">
        <v>77.459400000000002</v>
      </c>
      <c r="M7" s="20" t="str">
        <f t="shared" si="0"/>
        <v>-14.94</v>
      </c>
      <c r="N7" s="21">
        <f t="shared" si="1"/>
        <v>1.9088000000000012</v>
      </c>
      <c r="O7" s="21">
        <f t="shared" si="2"/>
        <v>49.727400000000003</v>
      </c>
      <c r="P7" s="21">
        <f t="shared" si="3"/>
        <v>24.079999999999984</v>
      </c>
    </row>
    <row r="8" spans="1:16" ht="15" customHeight="1" x14ac:dyDescent="0.3">
      <c r="A8" s="7" t="s">
        <v>9</v>
      </c>
      <c r="B8" s="7" t="s">
        <v>498</v>
      </c>
      <c r="C8" s="3" t="s">
        <v>616</v>
      </c>
      <c r="D8" s="8" t="s">
        <v>1</v>
      </c>
      <c r="E8" s="8" t="s">
        <v>2</v>
      </c>
      <c r="F8" s="6">
        <v>15</v>
      </c>
      <c r="G8" s="2">
        <v>20.055299999999999</v>
      </c>
      <c r="H8" s="2">
        <v>17.836099999999998</v>
      </c>
      <c r="I8" s="2">
        <v>11.187099999999999</v>
      </c>
      <c r="J8" s="2">
        <v>231.08779999999999</v>
      </c>
      <c r="K8" s="2">
        <v>217.71180000000001</v>
      </c>
      <c r="L8" s="2">
        <v>141.00800000000001</v>
      </c>
      <c r="M8" s="20" t="str">
        <f t="shared" si="0"/>
        <v>-11.07</v>
      </c>
      <c r="N8" s="21">
        <f t="shared" si="1"/>
        <v>2.2192000000000007</v>
      </c>
      <c r="O8" s="21">
        <f t="shared" si="2"/>
        <v>76.703800000000001</v>
      </c>
      <c r="P8" s="21">
        <f t="shared" si="3"/>
        <v>13.375999999999976</v>
      </c>
    </row>
    <row r="9" spans="1:16" ht="15" customHeight="1" x14ac:dyDescent="0.3">
      <c r="A9" s="7" t="s">
        <v>10</v>
      </c>
      <c r="B9" s="7" t="s">
        <v>498</v>
      </c>
      <c r="C9" s="3" t="s">
        <v>616</v>
      </c>
      <c r="D9" s="8" t="s">
        <v>1</v>
      </c>
      <c r="E9" s="8" t="s">
        <v>5</v>
      </c>
      <c r="F9" s="6">
        <v>15</v>
      </c>
      <c r="G9" s="2">
        <v>1.2461</v>
      </c>
      <c r="H9" s="2">
        <v>7.7651000000000003</v>
      </c>
      <c r="I9" s="2">
        <v>2.2378</v>
      </c>
      <c r="J9" s="2">
        <v>20.960899999999999</v>
      </c>
      <c r="K9" s="2">
        <v>127.6666</v>
      </c>
      <c r="L9" s="2">
        <v>33.570999999999998</v>
      </c>
      <c r="M9" s="20" t="str">
        <f t="shared" si="0"/>
        <v>523.15</v>
      </c>
      <c r="N9" s="21">
        <f t="shared" si="1"/>
        <v>-6.5190000000000001</v>
      </c>
      <c r="O9" s="21">
        <f t="shared" si="2"/>
        <v>94.095600000000005</v>
      </c>
      <c r="P9" s="21">
        <f t="shared" si="3"/>
        <v>-106.70570000000001</v>
      </c>
    </row>
    <row r="10" spans="1:16" ht="15" customHeight="1" x14ac:dyDescent="0.3">
      <c r="A10" s="7" t="s">
        <v>11</v>
      </c>
      <c r="B10" s="7" t="s">
        <v>498</v>
      </c>
      <c r="C10" s="3" t="s">
        <v>616</v>
      </c>
      <c r="D10" s="8" t="s">
        <v>1</v>
      </c>
      <c r="E10" s="8" t="s">
        <v>12</v>
      </c>
      <c r="F10" s="6">
        <v>15</v>
      </c>
      <c r="G10" s="2">
        <v>9.6471999999999998</v>
      </c>
      <c r="H10" s="2">
        <v>10.7577</v>
      </c>
      <c r="I10" s="2">
        <v>7.0723000000000003</v>
      </c>
      <c r="J10" s="2">
        <v>112.20610000000001</v>
      </c>
      <c r="K10" s="2">
        <v>131.05279999999999</v>
      </c>
      <c r="L10" s="2">
        <v>85.719800000000006</v>
      </c>
      <c r="M10" s="20" t="str">
        <f t="shared" si="0"/>
        <v>11.51</v>
      </c>
      <c r="N10" s="21">
        <f t="shared" si="1"/>
        <v>-1.1105</v>
      </c>
      <c r="O10" s="21">
        <f t="shared" si="2"/>
        <v>45.332999999999984</v>
      </c>
      <c r="P10" s="21">
        <f t="shared" si="3"/>
        <v>-18.846699999999984</v>
      </c>
    </row>
    <row r="11" spans="1:16" ht="15" customHeight="1" x14ac:dyDescent="0.3">
      <c r="A11" s="7" t="s">
        <v>13</v>
      </c>
      <c r="B11" s="7" t="s">
        <v>498</v>
      </c>
      <c r="C11" s="3" t="s">
        <v>616</v>
      </c>
      <c r="D11" s="8" t="s">
        <v>1</v>
      </c>
      <c r="E11" s="8" t="s">
        <v>2</v>
      </c>
      <c r="F11" s="6">
        <v>40</v>
      </c>
      <c r="G11" s="2">
        <v>0.1235</v>
      </c>
      <c r="H11" s="2">
        <v>0</v>
      </c>
      <c r="I11" s="2">
        <v>0</v>
      </c>
      <c r="J11" s="2">
        <v>2.2799999999999998</v>
      </c>
      <c r="K11" s="2">
        <v>0</v>
      </c>
      <c r="L11" s="2">
        <v>0</v>
      </c>
      <c r="M11" s="20" t="str">
        <f t="shared" si="0"/>
        <v>0.00</v>
      </c>
      <c r="N11" s="21">
        <f t="shared" si="1"/>
        <v>0.1235</v>
      </c>
      <c r="O11" s="21">
        <f t="shared" si="2"/>
        <v>0</v>
      </c>
      <c r="P11" s="21">
        <f t="shared" si="3"/>
        <v>2.2799999999999998</v>
      </c>
    </row>
    <row r="12" spans="1:16" ht="15" customHeight="1" x14ac:dyDescent="0.3">
      <c r="A12" s="7" t="s">
        <v>14</v>
      </c>
      <c r="B12" s="7" t="s">
        <v>498</v>
      </c>
      <c r="C12" s="3" t="s">
        <v>616</v>
      </c>
      <c r="D12" s="8" t="s">
        <v>1</v>
      </c>
      <c r="E12" s="8" t="s">
        <v>5</v>
      </c>
      <c r="F12" s="6">
        <v>56</v>
      </c>
      <c r="G12" s="2">
        <v>0</v>
      </c>
      <c r="H12" s="2">
        <v>0</v>
      </c>
      <c r="I12" s="2">
        <v>7.1128</v>
      </c>
      <c r="J12" s="2">
        <v>0</v>
      </c>
      <c r="K12" s="2">
        <v>0</v>
      </c>
      <c r="L12" s="2">
        <v>247.09899999999999</v>
      </c>
      <c r="M12" s="20" t="str">
        <f t="shared" si="0"/>
        <v>0.00</v>
      </c>
      <c r="N12" s="21">
        <f t="shared" si="1"/>
        <v>0</v>
      </c>
      <c r="O12" s="21">
        <f t="shared" si="2"/>
        <v>-247.09899999999999</v>
      </c>
      <c r="P12" s="21">
        <f t="shared" si="3"/>
        <v>0</v>
      </c>
    </row>
    <row r="13" spans="1:16" ht="15" customHeight="1" x14ac:dyDescent="0.3">
      <c r="A13" s="7" t="s">
        <v>15</v>
      </c>
      <c r="B13" s="7" t="s">
        <v>498</v>
      </c>
      <c r="C13" s="3" t="s">
        <v>616</v>
      </c>
      <c r="D13" s="8" t="s">
        <v>1</v>
      </c>
      <c r="E13" s="8" t="s">
        <v>5</v>
      </c>
      <c r="F13" s="6">
        <v>56</v>
      </c>
      <c r="G13" s="2">
        <v>0.18310000000000001</v>
      </c>
      <c r="H13" s="2">
        <v>0.1116</v>
      </c>
      <c r="I13" s="2">
        <v>0.38700000000000001</v>
      </c>
      <c r="J13" s="2">
        <v>5.8884999999999996</v>
      </c>
      <c r="K13" s="2">
        <v>3.7909999999999999</v>
      </c>
      <c r="L13" s="2">
        <v>14.3827</v>
      </c>
      <c r="M13" s="20" t="str">
        <f t="shared" si="0"/>
        <v>-39.05</v>
      </c>
      <c r="N13" s="21">
        <f t="shared" si="1"/>
        <v>7.1500000000000008E-2</v>
      </c>
      <c r="O13" s="21">
        <f t="shared" si="2"/>
        <v>-10.591699999999999</v>
      </c>
      <c r="P13" s="21">
        <f t="shared" si="3"/>
        <v>2.0974999999999997</v>
      </c>
    </row>
    <row r="14" spans="1:16" ht="15" customHeight="1" x14ac:dyDescent="0.3">
      <c r="A14" s="7" t="s">
        <v>16</v>
      </c>
      <c r="B14" s="7" t="s">
        <v>498</v>
      </c>
      <c r="C14" s="3" t="s">
        <v>616</v>
      </c>
      <c r="D14" s="8" t="s">
        <v>1</v>
      </c>
      <c r="E14" s="8" t="s">
        <v>2</v>
      </c>
      <c r="F14" s="6">
        <v>64</v>
      </c>
      <c r="G14" s="2">
        <v>1.8938999999999999</v>
      </c>
      <c r="H14" s="2">
        <v>0</v>
      </c>
      <c r="I14" s="2">
        <v>0.22520000000000001</v>
      </c>
      <c r="J14" s="2">
        <v>49.9726</v>
      </c>
      <c r="K14" s="2">
        <v>0</v>
      </c>
      <c r="L14" s="2">
        <v>6.9500999999999999</v>
      </c>
      <c r="M14" s="20" t="str">
        <f t="shared" si="0"/>
        <v>0.00</v>
      </c>
      <c r="N14" s="21">
        <f t="shared" si="1"/>
        <v>1.8938999999999999</v>
      </c>
      <c r="O14" s="21">
        <f t="shared" si="2"/>
        <v>-6.9500999999999999</v>
      </c>
      <c r="P14" s="21">
        <f t="shared" si="3"/>
        <v>49.9726</v>
      </c>
    </row>
    <row r="15" spans="1:16" ht="15" customHeight="1" x14ac:dyDescent="0.3">
      <c r="A15" s="7" t="s">
        <v>17</v>
      </c>
      <c r="B15" s="7" t="s">
        <v>498</v>
      </c>
      <c r="C15" s="3" t="s">
        <v>616</v>
      </c>
      <c r="D15" s="8" t="s">
        <v>1</v>
      </c>
      <c r="E15" s="8" t="s">
        <v>2</v>
      </c>
      <c r="F15" s="6">
        <v>64</v>
      </c>
      <c r="G15" s="2">
        <v>1.3514999999999999</v>
      </c>
      <c r="H15" s="2">
        <v>1.6999999999999999E-3</v>
      </c>
      <c r="I15" s="2">
        <v>0</v>
      </c>
      <c r="J15" s="2">
        <v>37.322600000000001</v>
      </c>
      <c r="K15" s="2">
        <v>6.4000000000000001E-2</v>
      </c>
      <c r="L15" s="2">
        <v>0</v>
      </c>
      <c r="M15" s="20" t="str">
        <f t="shared" si="0"/>
        <v>-99.87</v>
      </c>
      <c r="N15" s="21">
        <f t="shared" si="1"/>
        <v>1.3497999999999999</v>
      </c>
      <c r="O15" s="21">
        <f t="shared" si="2"/>
        <v>6.4000000000000001E-2</v>
      </c>
      <c r="P15" s="21">
        <f t="shared" si="3"/>
        <v>37.258600000000001</v>
      </c>
    </row>
    <row r="16" spans="1:16" ht="15" customHeight="1" x14ac:dyDescent="0.3">
      <c r="A16" s="7" t="s">
        <v>18</v>
      </c>
      <c r="B16" s="7" t="s">
        <v>498</v>
      </c>
      <c r="C16" s="3" t="s">
        <v>616</v>
      </c>
      <c r="D16" s="8" t="s">
        <v>1</v>
      </c>
      <c r="E16" s="8" t="s">
        <v>5</v>
      </c>
      <c r="F16" s="6">
        <v>64</v>
      </c>
      <c r="G16" s="2">
        <v>5.8978000000000002</v>
      </c>
      <c r="H16" s="2">
        <v>0.1087</v>
      </c>
      <c r="I16" s="2">
        <v>0</v>
      </c>
      <c r="J16" s="2">
        <v>169.58080000000001</v>
      </c>
      <c r="K16" s="2">
        <v>3.3822999999999999</v>
      </c>
      <c r="L16" s="2">
        <v>0</v>
      </c>
      <c r="M16" s="20" t="str">
        <f t="shared" si="0"/>
        <v>-98.16</v>
      </c>
      <c r="N16" s="21">
        <f t="shared" si="1"/>
        <v>5.7891000000000004</v>
      </c>
      <c r="O16" s="21">
        <f t="shared" si="2"/>
        <v>3.3822999999999999</v>
      </c>
      <c r="P16" s="21">
        <f t="shared" si="3"/>
        <v>166.19850000000002</v>
      </c>
    </row>
    <row r="17" spans="1:16" ht="15" customHeight="1" x14ac:dyDescent="0.3">
      <c r="A17" s="7" t="s">
        <v>19</v>
      </c>
      <c r="B17" s="7" t="s">
        <v>498</v>
      </c>
      <c r="C17" s="3" t="s">
        <v>616</v>
      </c>
      <c r="D17" s="8" t="s">
        <v>1</v>
      </c>
      <c r="E17" s="8" t="s">
        <v>12</v>
      </c>
      <c r="F17" s="6">
        <v>64</v>
      </c>
      <c r="G17" s="2">
        <v>0.69669999999999999</v>
      </c>
      <c r="H17" s="2">
        <v>28.392900000000001</v>
      </c>
      <c r="I17" s="2">
        <v>2.1978</v>
      </c>
      <c r="J17" s="2">
        <v>25.606300000000001</v>
      </c>
      <c r="K17" s="2">
        <v>1226.3661999999999</v>
      </c>
      <c r="L17" s="2">
        <v>96.438800000000001</v>
      </c>
      <c r="M17" s="20" t="str">
        <f t="shared" si="0"/>
        <v>3975.34</v>
      </c>
      <c r="N17" s="21">
        <f t="shared" si="1"/>
        <v>-27.696200000000001</v>
      </c>
      <c r="O17" s="21">
        <f t="shared" si="2"/>
        <v>1129.9274</v>
      </c>
      <c r="P17" s="21">
        <f t="shared" si="3"/>
        <v>-1200.7599</v>
      </c>
    </row>
    <row r="18" spans="1:16" ht="15" customHeight="1" x14ac:dyDescent="0.3">
      <c r="A18" s="7" t="s">
        <v>20</v>
      </c>
      <c r="B18" s="7" t="s">
        <v>498</v>
      </c>
      <c r="C18" s="3" t="s">
        <v>616</v>
      </c>
      <c r="D18" s="8" t="s">
        <v>1</v>
      </c>
      <c r="E18" s="8" t="s">
        <v>2</v>
      </c>
      <c r="F18" s="6">
        <v>72</v>
      </c>
      <c r="G18" s="2">
        <v>117.6534</v>
      </c>
      <c r="H18" s="2">
        <v>68.117699999999999</v>
      </c>
      <c r="I18" s="2">
        <v>28.349900000000002</v>
      </c>
      <c r="J18" s="2">
        <v>3055.9405999999999</v>
      </c>
      <c r="K18" s="2">
        <v>1781.8513</v>
      </c>
      <c r="L18" s="2">
        <v>711.07719999999995</v>
      </c>
      <c r="M18" s="20" t="str">
        <f t="shared" si="0"/>
        <v>-42.10</v>
      </c>
      <c r="N18" s="21">
        <f t="shared" si="1"/>
        <v>49.535700000000006</v>
      </c>
      <c r="O18" s="21">
        <f t="shared" si="2"/>
        <v>1070.7741000000001</v>
      </c>
      <c r="P18" s="21">
        <f t="shared" si="3"/>
        <v>1274.0892999999999</v>
      </c>
    </row>
    <row r="19" spans="1:16" ht="15" customHeight="1" x14ac:dyDescent="0.3">
      <c r="A19" s="7" t="s">
        <v>21</v>
      </c>
      <c r="B19" s="7" t="s">
        <v>498</v>
      </c>
      <c r="C19" s="3" t="s">
        <v>616</v>
      </c>
      <c r="D19" s="8" t="s">
        <v>1</v>
      </c>
      <c r="E19" s="8" t="s">
        <v>2</v>
      </c>
      <c r="F19" s="6">
        <v>72</v>
      </c>
      <c r="G19" s="2">
        <v>38.677799999999998</v>
      </c>
      <c r="H19" s="2">
        <v>31.4983</v>
      </c>
      <c r="I19" s="2">
        <v>9.7551000000000005</v>
      </c>
      <c r="J19" s="2">
        <v>954.11220000000003</v>
      </c>
      <c r="K19" s="2">
        <v>803.28520000000003</v>
      </c>
      <c r="L19" s="2">
        <v>236.19829999999999</v>
      </c>
      <c r="M19" s="20" t="str">
        <f t="shared" si="0"/>
        <v>-18.56</v>
      </c>
      <c r="N19" s="21">
        <f t="shared" si="1"/>
        <v>7.1794999999999973</v>
      </c>
      <c r="O19" s="21">
        <f t="shared" si="2"/>
        <v>567.08690000000001</v>
      </c>
      <c r="P19" s="21">
        <f t="shared" si="3"/>
        <v>150.827</v>
      </c>
    </row>
    <row r="20" spans="1:16" ht="15" customHeight="1" x14ac:dyDescent="0.3">
      <c r="A20" s="7" t="s">
        <v>22</v>
      </c>
      <c r="B20" s="7" t="s">
        <v>498</v>
      </c>
      <c r="C20" s="3" t="s">
        <v>616</v>
      </c>
      <c r="D20" s="8" t="s">
        <v>1</v>
      </c>
      <c r="E20" s="8" t="s">
        <v>5</v>
      </c>
      <c r="F20" s="6">
        <v>72</v>
      </c>
      <c r="G20" s="2">
        <v>6.1199999999999997E-2</v>
      </c>
      <c r="H20" s="2">
        <v>0</v>
      </c>
      <c r="I20" s="2">
        <v>0</v>
      </c>
      <c r="J20" s="2">
        <v>1.6046</v>
      </c>
      <c r="K20" s="2">
        <v>0</v>
      </c>
      <c r="L20" s="2">
        <v>0</v>
      </c>
      <c r="M20" s="20" t="str">
        <f t="shared" si="0"/>
        <v>0.00</v>
      </c>
      <c r="N20" s="21">
        <f t="shared" si="1"/>
        <v>6.1199999999999997E-2</v>
      </c>
      <c r="O20" s="21">
        <f t="shared" si="2"/>
        <v>0</v>
      </c>
      <c r="P20" s="21">
        <f t="shared" si="3"/>
        <v>1.6046</v>
      </c>
    </row>
    <row r="21" spans="1:16" ht="15" customHeight="1" x14ac:dyDescent="0.3">
      <c r="A21" s="7" t="s">
        <v>23</v>
      </c>
      <c r="B21" s="7" t="s">
        <v>498</v>
      </c>
      <c r="C21" s="3" t="s">
        <v>616</v>
      </c>
      <c r="D21" s="8" t="s">
        <v>1</v>
      </c>
      <c r="E21" s="8" t="s">
        <v>5</v>
      </c>
      <c r="F21" s="6">
        <v>72</v>
      </c>
      <c r="G21" s="2">
        <v>36.521799999999999</v>
      </c>
      <c r="H21" s="2">
        <v>5.1192000000000002</v>
      </c>
      <c r="I21" s="2">
        <v>1.1213</v>
      </c>
      <c r="J21" s="2">
        <v>1199.5277000000001</v>
      </c>
      <c r="K21" s="2">
        <v>135.36869999999999</v>
      </c>
      <c r="L21" s="2">
        <v>30.554400000000001</v>
      </c>
      <c r="M21" s="20" t="str">
        <f t="shared" si="0"/>
        <v>-85.98</v>
      </c>
      <c r="N21" s="21">
        <f t="shared" si="1"/>
        <v>31.4026</v>
      </c>
      <c r="O21" s="21">
        <f t="shared" si="2"/>
        <v>104.81429999999999</v>
      </c>
      <c r="P21" s="21">
        <f t="shared" si="3"/>
        <v>1064.1590000000001</v>
      </c>
    </row>
    <row r="22" spans="1:16" ht="15" customHeight="1" x14ac:dyDescent="0.3">
      <c r="A22" s="7" t="s">
        <v>24</v>
      </c>
      <c r="B22" s="7" t="s">
        <v>498</v>
      </c>
      <c r="C22" s="3" t="s">
        <v>616</v>
      </c>
      <c r="D22" s="8" t="s">
        <v>1</v>
      </c>
      <c r="E22" s="8" t="s">
        <v>5</v>
      </c>
      <c r="F22" s="6">
        <v>72</v>
      </c>
      <c r="G22" s="2">
        <v>21.958300000000001</v>
      </c>
      <c r="H22" s="2">
        <v>39.467100000000002</v>
      </c>
      <c r="I22" s="2">
        <v>10.7844</v>
      </c>
      <c r="J22" s="2">
        <v>726.31399999999996</v>
      </c>
      <c r="K22" s="2">
        <v>1508.4713999999999</v>
      </c>
      <c r="L22" s="2">
        <v>314.52640000000002</v>
      </c>
      <c r="M22" s="20" t="str">
        <f t="shared" si="0"/>
        <v>79.74</v>
      </c>
      <c r="N22" s="21">
        <f t="shared" si="1"/>
        <v>-17.508800000000001</v>
      </c>
      <c r="O22" s="21">
        <f t="shared" si="2"/>
        <v>1193.9449999999999</v>
      </c>
      <c r="P22" s="21">
        <f t="shared" si="3"/>
        <v>-782.15739999999994</v>
      </c>
    </row>
    <row r="23" spans="1:16" ht="15" customHeight="1" x14ac:dyDescent="0.3">
      <c r="A23" s="7" t="s">
        <v>25</v>
      </c>
      <c r="B23" s="7" t="s">
        <v>498</v>
      </c>
      <c r="C23" s="3" t="s">
        <v>616</v>
      </c>
      <c r="D23" s="8" t="s">
        <v>1</v>
      </c>
      <c r="E23" s="8" t="s">
        <v>5</v>
      </c>
      <c r="F23" s="6">
        <v>72</v>
      </c>
      <c r="G23" s="2">
        <v>27.983599999999999</v>
      </c>
      <c r="H23" s="2">
        <v>162.41050000000001</v>
      </c>
      <c r="I23" s="2">
        <v>103.16800000000001</v>
      </c>
      <c r="J23" s="2">
        <v>928.81529999999998</v>
      </c>
      <c r="K23" s="2">
        <v>5484.9444999999996</v>
      </c>
      <c r="L23" s="2">
        <v>3446.0194999999999</v>
      </c>
      <c r="M23" s="20" t="str">
        <f t="shared" si="0"/>
        <v>480.38</v>
      </c>
      <c r="N23" s="21">
        <f t="shared" si="1"/>
        <v>-134.42690000000002</v>
      </c>
      <c r="O23" s="21">
        <f t="shared" si="2"/>
        <v>2038.9249999999997</v>
      </c>
      <c r="P23" s="21">
        <f t="shared" si="3"/>
        <v>-4556.1291999999994</v>
      </c>
    </row>
    <row r="24" spans="1:16" ht="15" customHeight="1" x14ac:dyDescent="0.3">
      <c r="A24" s="7" t="s">
        <v>26</v>
      </c>
      <c r="B24" s="7" t="s">
        <v>498</v>
      </c>
      <c r="C24" s="3" t="s">
        <v>616</v>
      </c>
      <c r="D24" s="8" t="s">
        <v>1</v>
      </c>
      <c r="E24" s="8" t="s">
        <v>2</v>
      </c>
      <c r="F24" s="6">
        <v>72</v>
      </c>
      <c r="G24" s="2">
        <v>221.17019999999999</v>
      </c>
      <c r="H24" s="2">
        <v>159.9896</v>
      </c>
      <c r="I24" s="2">
        <v>77.865600000000001</v>
      </c>
      <c r="J24" s="2">
        <v>6715.8593000000001</v>
      </c>
      <c r="K24" s="2">
        <v>4333.2687999999998</v>
      </c>
      <c r="L24" s="2">
        <v>2035.5381</v>
      </c>
      <c r="M24" s="20" t="str">
        <f t="shared" si="0"/>
        <v>-27.66</v>
      </c>
      <c r="N24" s="21">
        <f t="shared" si="1"/>
        <v>61.180599999999998</v>
      </c>
      <c r="O24" s="21">
        <f t="shared" si="2"/>
        <v>2297.7307000000001</v>
      </c>
      <c r="P24" s="21">
        <f t="shared" si="3"/>
        <v>2382.5905000000002</v>
      </c>
    </row>
    <row r="25" spans="1:16" ht="15" customHeight="1" x14ac:dyDescent="0.3">
      <c r="A25" s="7" t="s">
        <v>27</v>
      </c>
      <c r="B25" s="7" t="s">
        <v>498</v>
      </c>
      <c r="C25" s="3" t="s">
        <v>616</v>
      </c>
      <c r="D25" s="8" t="s">
        <v>1</v>
      </c>
      <c r="E25" s="8" t="s">
        <v>5</v>
      </c>
      <c r="F25" s="6">
        <v>72</v>
      </c>
      <c r="G25" s="2">
        <v>6.4486999999999997</v>
      </c>
      <c r="H25" s="2">
        <v>1.6863999999999999</v>
      </c>
      <c r="I25" s="2">
        <v>0</v>
      </c>
      <c r="J25" s="2">
        <v>194.65190000000001</v>
      </c>
      <c r="K25" s="2">
        <v>50.700299999999999</v>
      </c>
      <c r="L25" s="2">
        <v>0</v>
      </c>
      <c r="M25" s="20" t="str">
        <f t="shared" si="0"/>
        <v>-73.85</v>
      </c>
      <c r="N25" s="21">
        <f t="shared" si="1"/>
        <v>4.7622999999999998</v>
      </c>
      <c r="O25" s="21">
        <f t="shared" si="2"/>
        <v>50.700299999999999</v>
      </c>
      <c r="P25" s="21">
        <f t="shared" si="3"/>
        <v>143.95160000000001</v>
      </c>
    </row>
    <row r="26" spans="1:16" ht="15" customHeight="1" x14ac:dyDescent="0.3">
      <c r="A26" s="7" t="s">
        <v>28</v>
      </c>
      <c r="B26" s="7" t="s">
        <v>498</v>
      </c>
      <c r="C26" s="3" t="s">
        <v>616</v>
      </c>
      <c r="D26" s="8" t="s">
        <v>1</v>
      </c>
      <c r="E26" s="8" t="s">
        <v>5</v>
      </c>
      <c r="F26" s="6">
        <v>72</v>
      </c>
      <c r="G26" s="2">
        <v>1663.8369</v>
      </c>
      <c r="H26" s="2">
        <v>1815.6596999999999</v>
      </c>
      <c r="I26" s="2">
        <v>1049.2485999999999</v>
      </c>
      <c r="J26" s="2">
        <v>62012.672500000001</v>
      </c>
      <c r="K26" s="2">
        <v>68679.966</v>
      </c>
      <c r="L26" s="2">
        <v>37856.881999999998</v>
      </c>
      <c r="M26" s="20" t="str">
        <f t="shared" si="0"/>
        <v>9.12</v>
      </c>
      <c r="N26" s="21">
        <f t="shared" si="1"/>
        <v>-151.82279999999992</v>
      </c>
      <c r="O26" s="21">
        <f t="shared" si="2"/>
        <v>30823.084000000003</v>
      </c>
      <c r="P26" s="21">
        <f t="shared" si="3"/>
        <v>-6667.2934999999998</v>
      </c>
    </row>
    <row r="27" spans="1:16" ht="15" customHeight="1" x14ac:dyDescent="0.3">
      <c r="A27" s="7" t="s">
        <v>29</v>
      </c>
      <c r="B27" s="7" t="s">
        <v>498</v>
      </c>
      <c r="C27" s="3" t="s">
        <v>616</v>
      </c>
      <c r="D27" s="8" t="s">
        <v>1</v>
      </c>
      <c r="E27" s="8" t="s">
        <v>2</v>
      </c>
      <c r="F27" s="6">
        <v>80</v>
      </c>
      <c r="G27" s="2">
        <v>1.7698</v>
      </c>
      <c r="H27" s="2">
        <v>0.36170000000000002</v>
      </c>
      <c r="I27" s="2">
        <v>0.20810000000000001</v>
      </c>
      <c r="J27" s="2">
        <v>50.220500000000001</v>
      </c>
      <c r="K27" s="2">
        <v>12.068099999999999</v>
      </c>
      <c r="L27" s="2">
        <v>5.4642999999999997</v>
      </c>
      <c r="M27" s="20" t="str">
        <f t="shared" si="0"/>
        <v>-79.56</v>
      </c>
      <c r="N27" s="21">
        <f t="shared" si="1"/>
        <v>1.4081000000000001</v>
      </c>
      <c r="O27" s="21">
        <f t="shared" si="2"/>
        <v>6.6037999999999997</v>
      </c>
      <c r="P27" s="21">
        <f t="shared" si="3"/>
        <v>38.1524</v>
      </c>
    </row>
    <row r="28" spans="1:16" ht="15" customHeight="1" x14ac:dyDescent="0.3">
      <c r="A28" s="7" t="s">
        <v>30</v>
      </c>
      <c r="B28" s="7" t="s">
        <v>498</v>
      </c>
      <c r="C28" s="3" t="s">
        <v>616</v>
      </c>
      <c r="D28" s="8" t="s">
        <v>1</v>
      </c>
      <c r="E28" s="8" t="s">
        <v>2</v>
      </c>
      <c r="F28" s="6">
        <v>80</v>
      </c>
      <c r="G28" s="2">
        <v>61.981900000000003</v>
      </c>
      <c r="H28" s="2">
        <v>56.970199999999998</v>
      </c>
      <c r="I28" s="2">
        <v>23.8948</v>
      </c>
      <c r="J28" s="2">
        <v>1524.2099000000001</v>
      </c>
      <c r="K28" s="2">
        <v>1404.4858999999999</v>
      </c>
      <c r="L28" s="2">
        <v>554.68420000000003</v>
      </c>
      <c r="M28" s="20" t="str">
        <f t="shared" si="0"/>
        <v>-8.09</v>
      </c>
      <c r="N28" s="21">
        <f t="shared" si="1"/>
        <v>5.0117000000000047</v>
      </c>
      <c r="O28" s="21">
        <f t="shared" si="2"/>
        <v>849.80169999999987</v>
      </c>
      <c r="P28" s="21">
        <f t="shared" si="3"/>
        <v>119.72400000000016</v>
      </c>
    </row>
    <row r="29" spans="1:16" ht="15" customHeight="1" x14ac:dyDescent="0.3">
      <c r="A29" s="7" t="s">
        <v>31</v>
      </c>
      <c r="B29" s="7" t="s">
        <v>499</v>
      </c>
      <c r="C29" s="3" t="s">
        <v>617</v>
      </c>
      <c r="D29" s="8" t="s">
        <v>1</v>
      </c>
      <c r="E29" s="8" t="s">
        <v>5</v>
      </c>
      <c r="F29" s="6">
        <v>120</v>
      </c>
      <c r="G29" s="2">
        <v>78.227999999999994</v>
      </c>
      <c r="H29" s="2">
        <v>99.030500000000004</v>
      </c>
      <c r="I29" s="2">
        <v>56.674100000000003</v>
      </c>
      <c r="J29" s="2">
        <v>4816.5708000000004</v>
      </c>
      <c r="K29" s="2">
        <v>5822.6243999999997</v>
      </c>
      <c r="L29" s="2">
        <v>2923.4182999999998</v>
      </c>
      <c r="M29" s="20" t="str">
        <f t="shared" si="0"/>
        <v>26.59</v>
      </c>
      <c r="N29" s="21">
        <f t="shared" si="1"/>
        <v>-20.802500000000009</v>
      </c>
      <c r="O29" s="21">
        <f t="shared" si="2"/>
        <v>2899.2060999999999</v>
      </c>
      <c r="P29" s="21">
        <f t="shared" si="3"/>
        <v>-1006.0535999999993</v>
      </c>
    </row>
    <row r="30" spans="1:16" ht="15" customHeight="1" x14ac:dyDescent="0.3">
      <c r="A30" s="7" t="s">
        <v>32</v>
      </c>
      <c r="B30" s="7" t="s">
        <v>499</v>
      </c>
      <c r="C30" s="3" t="s">
        <v>617</v>
      </c>
      <c r="D30" s="8" t="s">
        <v>1</v>
      </c>
      <c r="E30" s="8" t="s">
        <v>2</v>
      </c>
      <c r="F30" s="6">
        <v>64</v>
      </c>
      <c r="G30" s="2">
        <v>11.11</v>
      </c>
      <c r="H30" s="2">
        <v>8.9543999999999997</v>
      </c>
      <c r="I30" s="2">
        <v>2.2328999999999999</v>
      </c>
      <c r="J30" s="2">
        <v>523.16819999999996</v>
      </c>
      <c r="K30" s="2">
        <v>387.32229999999998</v>
      </c>
      <c r="L30" s="2">
        <v>84.428399999999996</v>
      </c>
      <c r="M30" s="20" t="str">
        <f t="shared" si="0"/>
        <v>-19.40</v>
      </c>
      <c r="N30" s="21">
        <f t="shared" si="1"/>
        <v>2.1555999999999997</v>
      </c>
      <c r="O30" s="21">
        <f t="shared" si="2"/>
        <v>302.89389999999997</v>
      </c>
      <c r="P30" s="21">
        <f t="shared" si="3"/>
        <v>135.84589999999997</v>
      </c>
    </row>
    <row r="31" spans="1:16" ht="15" customHeight="1" x14ac:dyDescent="0.3">
      <c r="A31" s="7" t="s">
        <v>33</v>
      </c>
      <c r="B31" s="7" t="s">
        <v>499</v>
      </c>
      <c r="C31" s="3" t="s">
        <v>617</v>
      </c>
      <c r="D31" s="8" t="s">
        <v>1</v>
      </c>
      <c r="E31" s="8" t="s">
        <v>2</v>
      </c>
      <c r="F31" s="6">
        <v>64</v>
      </c>
      <c r="G31" s="2">
        <v>79.953000000000003</v>
      </c>
      <c r="H31" s="2">
        <v>73.757099999999994</v>
      </c>
      <c r="I31" s="2">
        <v>40.362299999999998</v>
      </c>
      <c r="J31" s="2">
        <v>3388.3481999999999</v>
      </c>
      <c r="K31" s="2">
        <v>2840.8843000000002</v>
      </c>
      <c r="L31" s="2">
        <v>1387.0689</v>
      </c>
      <c r="M31" s="20" t="str">
        <f t="shared" si="0"/>
        <v>-7.75</v>
      </c>
      <c r="N31" s="21">
        <f t="shared" si="1"/>
        <v>6.1959000000000088</v>
      </c>
      <c r="O31" s="21">
        <f t="shared" si="2"/>
        <v>1453.8154000000002</v>
      </c>
      <c r="P31" s="21">
        <f t="shared" si="3"/>
        <v>547.46389999999974</v>
      </c>
    </row>
    <row r="32" spans="1:16" ht="15" customHeight="1" x14ac:dyDescent="0.3">
      <c r="A32" s="7" t="s">
        <v>34</v>
      </c>
      <c r="B32" s="7" t="s">
        <v>499</v>
      </c>
      <c r="C32" s="3" t="s">
        <v>617</v>
      </c>
      <c r="D32" s="8" t="s">
        <v>1</v>
      </c>
      <c r="E32" s="8" t="s">
        <v>2</v>
      </c>
      <c r="F32" s="6">
        <v>64</v>
      </c>
      <c r="G32" s="2">
        <v>12.195</v>
      </c>
      <c r="H32" s="2">
        <v>8.5597999999999992</v>
      </c>
      <c r="I32" s="2">
        <v>1.6516999999999999</v>
      </c>
      <c r="J32" s="2">
        <v>553.03880000000004</v>
      </c>
      <c r="K32" s="2">
        <v>369.83049999999997</v>
      </c>
      <c r="L32" s="2">
        <v>64.100099999999998</v>
      </c>
      <c r="M32" s="20" t="str">
        <f t="shared" si="0"/>
        <v>-29.81</v>
      </c>
      <c r="N32" s="21">
        <f t="shared" si="1"/>
        <v>3.6352000000000011</v>
      </c>
      <c r="O32" s="21">
        <f t="shared" si="2"/>
        <v>305.73039999999997</v>
      </c>
      <c r="P32" s="21">
        <f t="shared" si="3"/>
        <v>183.20830000000007</v>
      </c>
    </row>
    <row r="33" spans="1:16" ht="15" customHeight="1" x14ac:dyDescent="0.3">
      <c r="A33" s="7" t="s">
        <v>35</v>
      </c>
      <c r="B33" s="7" t="s">
        <v>499</v>
      </c>
      <c r="C33" s="3" t="s">
        <v>617</v>
      </c>
      <c r="D33" s="8" t="s">
        <v>1</v>
      </c>
      <c r="E33" s="8" t="s">
        <v>2</v>
      </c>
      <c r="F33" s="6">
        <v>64</v>
      </c>
      <c r="G33" s="2">
        <v>60.510800000000003</v>
      </c>
      <c r="H33" s="2">
        <v>52.405999999999999</v>
      </c>
      <c r="I33" s="2">
        <v>30.122800000000002</v>
      </c>
      <c r="J33" s="2">
        <v>2540.1291999999999</v>
      </c>
      <c r="K33" s="2">
        <v>2011.4869000000001</v>
      </c>
      <c r="L33" s="2">
        <v>1066.0352</v>
      </c>
      <c r="M33" s="20" t="str">
        <f t="shared" si="0"/>
        <v>-13.39</v>
      </c>
      <c r="N33" s="21">
        <f t="shared" si="1"/>
        <v>8.1048000000000044</v>
      </c>
      <c r="O33" s="21">
        <f t="shared" si="2"/>
        <v>945.45170000000007</v>
      </c>
      <c r="P33" s="21">
        <f t="shared" si="3"/>
        <v>528.64229999999975</v>
      </c>
    </row>
    <row r="34" spans="1:16" ht="15" customHeight="1" x14ac:dyDescent="0.3">
      <c r="A34" s="7" t="s">
        <v>36</v>
      </c>
      <c r="B34" s="7" t="s">
        <v>499</v>
      </c>
      <c r="C34" s="3" t="s">
        <v>617</v>
      </c>
      <c r="D34" s="8" t="s">
        <v>1</v>
      </c>
      <c r="E34" s="8" t="s">
        <v>2</v>
      </c>
      <c r="F34" s="6">
        <v>64</v>
      </c>
      <c r="G34" s="2">
        <v>47.8005</v>
      </c>
      <c r="H34" s="2">
        <v>51.199100000000001</v>
      </c>
      <c r="I34" s="2">
        <v>29.6906</v>
      </c>
      <c r="J34" s="2">
        <v>1970.2177999999999</v>
      </c>
      <c r="K34" s="2">
        <v>1924.2328</v>
      </c>
      <c r="L34" s="2">
        <v>1027.8571999999999</v>
      </c>
      <c r="M34" s="20" t="str">
        <f t="shared" si="0"/>
        <v>7.11</v>
      </c>
      <c r="N34" s="21">
        <f t="shared" si="1"/>
        <v>-3.3986000000000018</v>
      </c>
      <c r="O34" s="21">
        <f t="shared" si="2"/>
        <v>896.37560000000008</v>
      </c>
      <c r="P34" s="21">
        <f t="shared" si="3"/>
        <v>45.9849999999999</v>
      </c>
    </row>
    <row r="35" spans="1:16" ht="15" customHeight="1" x14ac:dyDescent="0.3">
      <c r="A35" s="7" t="s">
        <v>37</v>
      </c>
      <c r="B35" s="7" t="s">
        <v>499</v>
      </c>
      <c r="C35" s="3" t="s">
        <v>617</v>
      </c>
      <c r="D35" s="8" t="s">
        <v>1</v>
      </c>
      <c r="E35" s="8" t="s">
        <v>5</v>
      </c>
      <c r="F35" s="6">
        <v>64</v>
      </c>
      <c r="G35" s="2">
        <v>0</v>
      </c>
      <c r="H35" s="2">
        <v>3.2536</v>
      </c>
      <c r="I35" s="2">
        <v>4.3144</v>
      </c>
      <c r="J35" s="2">
        <v>0</v>
      </c>
      <c r="K35" s="2">
        <v>139.34979999999999</v>
      </c>
      <c r="L35" s="2">
        <v>169.84690000000001</v>
      </c>
      <c r="M35" s="20" t="str">
        <f t="shared" si="0"/>
        <v>0.00</v>
      </c>
      <c r="N35" s="21">
        <f t="shared" si="1"/>
        <v>-3.2536</v>
      </c>
      <c r="O35" s="21">
        <f t="shared" si="2"/>
        <v>-30.497100000000017</v>
      </c>
      <c r="P35" s="21">
        <f t="shared" si="3"/>
        <v>-139.34979999999999</v>
      </c>
    </row>
    <row r="36" spans="1:16" ht="15" customHeight="1" x14ac:dyDescent="0.3">
      <c r="A36" s="7" t="s">
        <v>38</v>
      </c>
      <c r="B36" s="7" t="s">
        <v>499</v>
      </c>
      <c r="C36" s="3" t="s">
        <v>617</v>
      </c>
      <c r="D36" s="8" t="s">
        <v>1</v>
      </c>
      <c r="E36" s="8" t="s">
        <v>5</v>
      </c>
      <c r="F36" s="6">
        <v>64</v>
      </c>
      <c r="G36" s="2">
        <v>5.5922000000000001</v>
      </c>
      <c r="H36" s="2">
        <v>5.3672000000000004</v>
      </c>
      <c r="I36" s="2">
        <v>2.5727000000000002</v>
      </c>
      <c r="J36" s="2">
        <v>261.04790000000003</v>
      </c>
      <c r="K36" s="2">
        <v>232.43600000000001</v>
      </c>
      <c r="L36" s="2">
        <v>93.995500000000007</v>
      </c>
      <c r="M36" s="20" t="str">
        <f t="shared" si="0"/>
        <v>-4.02</v>
      </c>
      <c r="N36" s="21">
        <f t="shared" si="1"/>
        <v>0.22499999999999964</v>
      </c>
      <c r="O36" s="21">
        <f t="shared" si="2"/>
        <v>138.44049999999999</v>
      </c>
      <c r="P36" s="21">
        <f t="shared" si="3"/>
        <v>28.61190000000002</v>
      </c>
    </row>
    <row r="37" spans="1:16" ht="15" customHeight="1" x14ac:dyDescent="0.3">
      <c r="A37" s="7" t="s">
        <v>39</v>
      </c>
      <c r="B37" s="7" t="s">
        <v>499</v>
      </c>
      <c r="C37" s="3" t="s">
        <v>617</v>
      </c>
      <c r="D37" s="8" t="s">
        <v>1</v>
      </c>
      <c r="E37" s="8" t="s">
        <v>5</v>
      </c>
      <c r="F37" s="6">
        <v>64</v>
      </c>
      <c r="G37" s="2">
        <v>53.490699999999997</v>
      </c>
      <c r="H37" s="2">
        <v>44.783700000000003</v>
      </c>
      <c r="I37" s="2">
        <v>26.440899999999999</v>
      </c>
      <c r="J37" s="2">
        <v>2262.5698000000002</v>
      </c>
      <c r="K37" s="2">
        <v>1667.4681</v>
      </c>
      <c r="L37" s="2">
        <v>920.88139999999999</v>
      </c>
      <c r="M37" s="20" t="str">
        <f t="shared" si="0"/>
        <v>-16.28</v>
      </c>
      <c r="N37" s="21">
        <f t="shared" si="1"/>
        <v>8.7069999999999936</v>
      </c>
      <c r="O37" s="21">
        <f t="shared" si="2"/>
        <v>746.58670000000006</v>
      </c>
      <c r="P37" s="21">
        <f t="shared" si="3"/>
        <v>595.10170000000016</v>
      </c>
    </row>
    <row r="38" spans="1:16" ht="15" customHeight="1" x14ac:dyDescent="0.3">
      <c r="A38" s="7" t="s">
        <v>40</v>
      </c>
      <c r="B38" s="7" t="s">
        <v>499</v>
      </c>
      <c r="C38" s="3" t="s">
        <v>617</v>
      </c>
      <c r="D38" s="8" t="s">
        <v>1</v>
      </c>
      <c r="E38" s="8" t="s">
        <v>41</v>
      </c>
      <c r="F38" s="6">
        <v>64</v>
      </c>
      <c r="G38" s="2">
        <v>8.2710000000000008</v>
      </c>
      <c r="H38" s="2">
        <v>9.9309999999999992</v>
      </c>
      <c r="I38" s="2">
        <v>1.1805000000000001</v>
      </c>
      <c r="J38" s="2">
        <v>392.0086</v>
      </c>
      <c r="K38" s="2">
        <v>426.19690000000003</v>
      </c>
      <c r="L38" s="2">
        <v>46.280799999999999</v>
      </c>
      <c r="M38" s="20" t="str">
        <f t="shared" si="0"/>
        <v>20.07</v>
      </c>
      <c r="N38" s="21">
        <f t="shared" si="1"/>
        <v>-1.6599999999999984</v>
      </c>
      <c r="O38" s="21">
        <f t="shared" si="2"/>
        <v>379.91610000000003</v>
      </c>
      <c r="P38" s="21">
        <f t="shared" si="3"/>
        <v>-34.188300000000027</v>
      </c>
    </row>
    <row r="39" spans="1:16" ht="15" customHeight="1" x14ac:dyDescent="0.3">
      <c r="A39" s="7" t="s">
        <v>42</v>
      </c>
      <c r="B39" s="7" t="s">
        <v>499</v>
      </c>
      <c r="C39" s="3" t="s">
        <v>617</v>
      </c>
      <c r="D39" s="8" t="s">
        <v>1</v>
      </c>
      <c r="E39" s="8" t="s">
        <v>41</v>
      </c>
      <c r="F39" s="6">
        <v>64</v>
      </c>
      <c r="G39" s="2">
        <v>70.562299999999993</v>
      </c>
      <c r="H39" s="2">
        <v>56.785600000000002</v>
      </c>
      <c r="I39" s="2">
        <v>30.796600000000002</v>
      </c>
      <c r="J39" s="2">
        <v>2842.3220000000001</v>
      </c>
      <c r="K39" s="2">
        <v>2121.0371</v>
      </c>
      <c r="L39" s="2">
        <v>1067.8224</v>
      </c>
      <c r="M39" s="20" t="str">
        <f t="shared" si="0"/>
        <v>-19.52</v>
      </c>
      <c r="N39" s="21">
        <f t="shared" si="1"/>
        <v>13.776699999999991</v>
      </c>
      <c r="O39" s="21">
        <f t="shared" si="2"/>
        <v>1053.2147</v>
      </c>
      <c r="P39" s="21">
        <f t="shared" si="3"/>
        <v>721.28490000000011</v>
      </c>
    </row>
    <row r="40" spans="1:16" ht="15" customHeight="1" x14ac:dyDescent="0.3">
      <c r="A40" s="7" t="s">
        <v>43</v>
      </c>
      <c r="B40" s="7" t="s">
        <v>499</v>
      </c>
      <c r="C40" s="3" t="s">
        <v>617</v>
      </c>
      <c r="D40" s="8" t="s">
        <v>1</v>
      </c>
      <c r="E40" s="8" t="s">
        <v>5</v>
      </c>
      <c r="F40" s="6">
        <v>64</v>
      </c>
      <c r="G40" s="2">
        <v>34.495899999999999</v>
      </c>
      <c r="H40" s="2">
        <v>35.333399999999997</v>
      </c>
      <c r="I40" s="2">
        <v>28.078199999999999</v>
      </c>
      <c r="J40" s="2">
        <v>1446.3839</v>
      </c>
      <c r="K40" s="2">
        <v>1359.9783</v>
      </c>
      <c r="L40" s="2">
        <v>967.9162</v>
      </c>
      <c r="M40" s="20" t="str">
        <f t="shared" si="0"/>
        <v>2.43</v>
      </c>
      <c r="N40" s="21">
        <f t="shared" si="1"/>
        <v>-0.83749999999999858</v>
      </c>
      <c r="O40" s="21">
        <f t="shared" si="2"/>
        <v>392.06209999999999</v>
      </c>
      <c r="P40" s="21">
        <f t="shared" si="3"/>
        <v>86.405600000000049</v>
      </c>
    </row>
    <row r="41" spans="1:16" ht="15" customHeight="1" x14ac:dyDescent="0.3">
      <c r="A41" s="7" t="s">
        <v>44</v>
      </c>
      <c r="B41" s="7" t="s">
        <v>499</v>
      </c>
      <c r="C41" s="3" t="s">
        <v>617</v>
      </c>
      <c r="D41" s="8" t="s">
        <v>1</v>
      </c>
      <c r="E41" s="8" t="s">
        <v>12</v>
      </c>
      <c r="F41" s="6">
        <v>90</v>
      </c>
      <c r="G41" s="2">
        <v>49.5715</v>
      </c>
      <c r="H41" s="2">
        <v>57.943199999999997</v>
      </c>
      <c r="I41" s="2">
        <v>41.595799999999997</v>
      </c>
      <c r="J41" s="2">
        <v>2203.8969999999999</v>
      </c>
      <c r="K41" s="2">
        <v>2377.6914999999999</v>
      </c>
      <c r="L41" s="2">
        <v>1614.8326999999999</v>
      </c>
      <c r="M41" s="20" t="str">
        <f t="shared" si="0"/>
        <v>16.89</v>
      </c>
      <c r="N41" s="21">
        <f t="shared" si="1"/>
        <v>-8.371699999999997</v>
      </c>
      <c r="O41" s="21">
        <f t="shared" si="2"/>
        <v>762.85879999999997</v>
      </c>
      <c r="P41" s="21">
        <f t="shared" si="3"/>
        <v>-173.79449999999997</v>
      </c>
    </row>
    <row r="42" spans="1:16" ht="15" customHeight="1" x14ac:dyDescent="0.3">
      <c r="A42" s="7" t="s">
        <v>46</v>
      </c>
      <c r="B42" s="7" t="s">
        <v>500</v>
      </c>
      <c r="C42" s="3" t="s">
        <v>727</v>
      </c>
      <c r="D42" s="8" t="s">
        <v>1</v>
      </c>
      <c r="E42" s="8" t="s">
        <v>5</v>
      </c>
      <c r="F42" s="6">
        <v>120</v>
      </c>
      <c r="G42" s="2">
        <v>0</v>
      </c>
      <c r="H42" s="2">
        <v>0</v>
      </c>
      <c r="I42" s="2">
        <v>5.7117000000000004</v>
      </c>
      <c r="J42" s="2">
        <v>0</v>
      </c>
      <c r="K42" s="2">
        <v>0</v>
      </c>
      <c r="L42" s="2">
        <v>338.46300000000002</v>
      </c>
      <c r="M42" s="20" t="str">
        <f t="shared" si="0"/>
        <v>0.00</v>
      </c>
      <c r="N42" s="21">
        <f t="shared" si="1"/>
        <v>0</v>
      </c>
      <c r="O42" s="21">
        <f t="shared" si="2"/>
        <v>-338.46300000000002</v>
      </c>
      <c r="P42" s="21">
        <f t="shared" si="3"/>
        <v>0</v>
      </c>
    </row>
    <row r="43" spans="1:16" ht="15" customHeight="1" x14ac:dyDescent="0.3">
      <c r="A43" s="7" t="s">
        <v>47</v>
      </c>
      <c r="B43" s="7" t="s">
        <v>500</v>
      </c>
      <c r="C43" s="3" t="s">
        <v>727</v>
      </c>
      <c r="D43" s="8" t="s">
        <v>1</v>
      </c>
      <c r="E43" s="8" t="s">
        <v>5</v>
      </c>
      <c r="F43" s="6">
        <v>90</v>
      </c>
      <c r="G43" s="2">
        <v>0</v>
      </c>
      <c r="H43" s="2">
        <v>4.4634999999999998</v>
      </c>
      <c r="I43" s="2">
        <v>0.1893</v>
      </c>
      <c r="J43" s="2">
        <v>0</v>
      </c>
      <c r="K43" s="2">
        <v>231.33420000000001</v>
      </c>
      <c r="L43" s="2">
        <v>9.7352000000000007</v>
      </c>
      <c r="M43" s="20" t="str">
        <f t="shared" si="0"/>
        <v>0.00</v>
      </c>
      <c r="N43" s="21">
        <f t="shared" si="1"/>
        <v>-4.4634999999999998</v>
      </c>
      <c r="O43" s="21">
        <f t="shared" si="2"/>
        <v>221.59900000000002</v>
      </c>
      <c r="P43" s="21">
        <f t="shared" si="3"/>
        <v>-231.33420000000001</v>
      </c>
    </row>
    <row r="44" spans="1:16" ht="15" customHeight="1" x14ac:dyDescent="0.3">
      <c r="A44" s="7" t="s">
        <v>48</v>
      </c>
      <c r="B44" s="7" t="s">
        <v>501</v>
      </c>
      <c r="C44" s="3" t="s">
        <v>618</v>
      </c>
      <c r="D44" s="8" t="s">
        <v>1</v>
      </c>
      <c r="E44" s="8" t="s">
        <v>5</v>
      </c>
      <c r="F44" s="6">
        <v>120</v>
      </c>
      <c r="G44" s="2">
        <v>0.70520000000000005</v>
      </c>
      <c r="H44" s="2">
        <v>0</v>
      </c>
      <c r="I44" s="2">
        <v>0</v>
      </c>
      <c r="J44" s="2">
        <v>47.325299999999999</v>
      </c>
      <c r="K44" s="2">
        <v>0</v>
      </c>
      <c r="L44" s="2">
        <v>0</v>
      </c>
      <c r="M44" s="20" t="str">
        <f t="shared" si="0"/>
        <v>0.00</v>
      </c>
      <c r="N44" s="21">
        <f t="shared" si="1"/>
        <v>0.70520000000000005</v>
      </c>
      <c r="O44" s="21">
        <f t="shared" si="2"/>
        <v>0</v>
      </c>
      <c r="P44" s="21">
        <f t="shared" si="3"/>
        <v>47.325299999999999</v>
      </c>
    </row>
    <row r="45" spans="1:16" ht="15" customHeight="1" x14ac:dyDescent="0.3">
      <c r="A45" s="7" t="s">
        <v>49</v>
      </c>
      <c r="B45" s="7" t="s">
        <v>502</v>
      </c>
      <c r="C45" s="3" t="s">
        <v>619</v>
      </c>
      <c r="D45" s="8" t="s">
        <v>1</v>
      </c>
      <c r="E45" s="8" t="s">
        <v>5</v>
      </c>
      <c r="F45" s="6">
        <v>100</v>
      </c>
      <c r="G45" s="2">
        <v>0.76280000000000003</v>
      </c>
      <c r="H45" s="2">
        <v>0.23669999999999999</v>
      </c>
      <c r="I45" s="2">
        <v>0.1135</v>
      </c>
      <c r="J45" s="2">
        <v>43.074599999999997</v>
      </c>
      <c r="K45" s="2">
        <v>13.9861</v>
      </c>
      <c r="L45" s="2">
        <v>6.5488999999999997</v>
      </c>
      <c r="M45" s="20" t="str">
        <f t="shared" si="0"/>
        <v>-68.97</v>
      </c>
      <c r="N45" s="21">
        <f t="shared" si="1"/>
        <v>0.52610000000000001</v>
      </c>
      <c r="O45" s="21">
        <f t="shared" si="2"/>
        <v>7.4372000000000007</v>
      </c>
      <c r="P45" s="21">
        <f t="shared" si="3"/>
        <v>29.088499999999996</v>
      </c>
    </row>
    <row r="46" spans="1:16" ht="15" customHeight="1" x14ac:dyDescent="0.3">
      <c r="A46" s="7" t="s">
        <v>50</v>
      </c>
      <c r="B46" s="7" t="s">
        <v>502</v>
      </c>
      <c r="C46" s="3" t="s">
        <v>619</v>
      </c>
      <c r="D46" s="8" t="s">
        <v>1</v>
      </c>
      <c r="E46" s="8" t="s">
        <v>41</v>
      </c>
      <c r="F46" s="6">
        <v>100</v>
      </c>
      <c r="G46" s="2">
        <v>14.3467</v>
      </c>
      <c r="H46" s="2">
        <v>14.9893</v>
      </c>
      <c r="I46" s="2">
        <v>7.9457000000000004</v>
      </c>
      <c r="J46" s="2">
        <v>749.43960000000004</v>
      </c>
      <c r="K46" s="2">
        <v>788.71510000000001</v>
      </c>
      <c r="L46" s="2">
        <v>388.85250000000002</v>
      </c>
      <c r="M46" s="20" t="str">
        <f t="shared" si="0"/>
        <v>4.48</v>
      </c>
      <c r="N46" s="21">
        <f t="shared" si="1"/>
        <v>-0.64259999999999984</v>
      </c>
      <c r="O46" s="21">
        <f t="shared" si="2"/>
        <v>399.86259999999999</v>
      </c>
      <c r="P46" s="21">
        <f t="shared" si="3"/>
        <v>-39.275499999999965</v>
      </c>
    </row>
    <row r="47" spans="1:16" ht="15" customHeight="1" x14ac:dyDescent="0.3">
      <c r="A47" s="7" t="s">
        <v>51</v>
      </c>
      <c r="B47" s="7" t="s">
        <v>502</v>
      </c>
      <c r="C47" s="3" t="s">
        <v>619</v>
      </c>
      <c r="D47" s="8" t="s">
        <v>1</v>
      </c>
      <c r="E47" s="8" t="s">
        <v>2</v>
      </c>
      <c r="F47" s="6">
        <v>100</v>
      </c>
      <c r="G47" s="2">
        <v>9.9741999999999997</v>
      </c>
      <c r="H47" s="2">
        <v>17.767600000000002</v>
      </c>
      <c r="I47" s="2">
        <v>9.7081</v>
      </c>
      <c r="J47" s="2">
        <v>530.94489999999996</v>
      </c>
      <c r="K47" s="2">
        <v>921.25450000000001</v>
      </c>
      <c r="L47" s="2">
        <v>442.90179999999998</v>
      </c>
      <c r="M47" s="20" t="str">
        <f t="shared" si="0"/>
        <v>78.14</v>
      </c>
      <c r="N47" s="21">
        <f t="shared" si="1"/>
        <v>-7.7934000000000019</v>
      </c>
      <c r="O47" s="21">
        <f t="shared" si="2"/>
        <v>478.35270000000003</v>
      </c>
      <c r="P47" s="21">
        <f t="shared" si="3"/>
        <v>-390.30960000000005</v>
      </c>
    </row>
    <row r="48" spans="1:16" ht="15" customHeight="1" x14ac:dyDescent="0.3">
      <c r="A48" s="7" t="s">
        <v>52</v>
      </c>
      <c r="B48" s="7" t="s">
        <v>502</v>
      </c>
      <c r="C48" s="3" t="s">
        <v>619</v>
      </c>
      <c r="D48" s="8" t="s">
        <v>1</v>
      </c>
      <c r="E48" s="8" t="s">
        <v>2</v>
      </c>
      <c r="F48" s="6">
        <v>100</v>
      </c>
      <c r="G48" s="2">
        <v>15.1808</v>
      </c>
      <c r="H48" s="2">
        <v>9.7044999999999995</v>
      </c>
      <c r="I48" s="2">
        <v>2.6509999999999998</v>
      </c>
      <c r="J48" s="2">
        <v>814.55730000000005</v>
      </c>
      <c r="K48" s="2">
        <v>531.53909999999996</v>
      </c>
      <c r="L48" s="2">
        <v>144.98150000000001</v>
      </c>
      <c r="M48" s="20" t="str">
        <f t="shared" si="0"/>
        <v>-36.07</v>
      </c>
      <c r="N48" s="21">
        <f t="shared" si="1"/>
        <v>5.4763000000000002</v>
      </c>
      <c r="O48" s="21">
        <f t="shared" si="2"/>
        <v>386.55759999999998</v>
      </c>
      <c r="P48" s="21">
        <f t="shared" si="3"/>
        <v>283.01820000000009</v>
      </c>
    </row>
    <row r="49" spans="1:16" ht="15" customHeight="1" x14ac:dyDescent="0.3">
      <c r="A49" s="7" t="s">
        <v>53</v>
      </c>
      <c r="B49" s="7" t="s">
        <v>502</v>
      </c>
      <c r="C49" s="3" t="s">
        <v>619</v>
      </c>
      <c r="D49" s="8" t="s">
        <v>1</v>
      </c>
      <c r="E49" s="8" t="s">
        <v>5</v>
      </c>
      <c r="F49" s="6">
        <v>100</v>
      </c>
      <c r="G49" s="2">
        <v>18.2471</v>
      </c>
      <c r="H49" s="2">
        <v>19.903099999999998</v>
      </c>
      <c r="I49" s="2">
        <v>8.7614000000000001</v>
      </c>
      <c r="J49" s="2">
        <v>989.38980000000004</v>
      </c>
      <c r="K49" s="2">
        <v>1044.1582000000001</v>
      </c>
      <c r="L49" s="2">
        <v>387.44209999999998</v>
      </c>
      <c r="M49" s="20" t="str">
        <f t="shared" si="0"/>
        <v>9.08</v>
      </c>
      <c r="N49" s="21">
        <f t="shared" si="1"/>
        <v>-1.6559999999999988</v>
      </c>
      <c r="O49" s="21">
        <f t="shared" si="2"/>
        <v>656.7161000000001</v>
      </c>
      <c r="P49" s="21">
        <f t="shared" si="3"/>
        <v>-54.768400000000042</v>
      </c>
    </row>
    <row r="50" spans="1:16" ht="15" customHeight="1" x14ac:dyDescent="0.3">
      <c r="A50" s="7" t="s">
        <v>54</v>
      </c>
      <c r="B50" s="7" t="s">
        <v>502</v>
      </c>
      <c r="C50" s="3" t="s">
        <v>619</v>
      </c>
      <c r="D50" s="8" t="s">
        <v>1</v>
      </c>
      <c r="E50" s="8" t="s">
        <v>5</v>
      </c>
      <c r="F50" s="6">
        <v>100</v>
      </c>
      <c r="G50" s="2">
        <v>13.7898</v>
      </c>
      <c r="H50" s="2">
        <v>10.6778</v>
      </c>
      <c r="I50" s="2">
        <v>5.2233000000000001</v>
      </c>
      <c r="J50" s="2">
        <v>726.86360000000002</v>
      </c>
      <c r="K50" s="2">
        <v>563.28449999999998</v>
      </c>
      <c r="L50" s="2">
        <v>268.45999999999998</v>
      </c>
      <c r="M50" s="20" t="str">
        <f t="shared" si="0"/>
        <v>-22.57</v>
      </c>
      <c r="N50" s="21">
        <f t="shared" si="1"/>
        <v>3.1120000000000001</v>
      </c>
      <c r="O50" s="21">
        <f t="shared" si="2"/>
        <v>294.8245</v>
      </c>
      <c r="P50" s="21">
        <f t="shared" si="3"/>
        <v>163.57910000000004</v>
      </c>
    </row>
    <row r="51" spans="1:16" ht="15" customHeight="1" x14ac:dyDescent="0.3">
      <c r="A51" s="7" t="s">
        <v>55</v>
      </c>
      <c r="B51" s="7" t="s">
        <v>502</v>
      </c>
      <c r="C51" s="3" t="s">
        <v>619</v>
      </c>
      <c r="D51" s="8" t="s">
        <v>1</v>
      </c>
      <c r="E51" s="8" t="s">
        <v>5</v>
      </c>
      <c r="F51" s="6">
        <v>120</v>
      </c>
      <c r="G51" s="2">
        <v>29.590800000000002</v>
      </c>
      <c r="H51" s="2">
        <v>20.845300000000002</v>
      </c>
      <c r="I51" s="2">
        <v>11.449400000000001</v>
      </c>
      <c r="J51" s="2">
        <v>1741.4848</v>
      </c>
      <c r="K51" s="2">
        <v>1127.5655999999999</v>
      </c>
      <c r="L51" s="2">
        <v>585.96109999999999</v>
      </c>
      <c r="M51" s="20" t="str">
        <f t="shared" si="0"/>
        <v>-29.55</v>
      </c>
      <c r="N51" s="21">
        <f t="shared" si="1"/>
        <v>8.7454999999999998</v>
      </c>
      <c r="O51" s="21">
        <f t="shared" si="2"/>
        <v>541.60449999999992</v>
      </c>
      <c r="P51" s="21">
        <f t="shared" si="3"/>
        <v>613.91920000000005</v>
      </c>
    </row>
    <row r="52" spans="1:16" ht="15" customHeight="1" x14ac:dyDescent="0.3">
      <c r="A52" s="7" t="s">
        <v>56</v>
      </c>
      <c r="B52" s="7" t="s">
        <v>502</v>
      </c>
      <c r="C52" s="3" t="s">
        <v>619</v>
      </c>
      <c r="D52" s="8" t="s">
        <v>1</v>
      </c>
      <c r="E52" s="8" t="s">
        <v>41</v>
      </c>
      <c r="F52" s="6">
        <v>72</v>
      </c>
      <c r="G52" s="2">
        <v>0.72840000000000005</v>
      </c>
      <c r="H52" s="2">
        <v>0</v>
      </c>
      <c r="I52" s="2">
        <v>0</v>
      </c>
      <c r="J52" s="2">
        <v>51.0182</v>
      </c>
      <c r="K52" s="2">
        <v>0</v>
      </c>
      <c r="L52" s="2">
        <v>0</v>
      </c>
      <c r="M52" s="20" t="str">
        <f t="shared" si="0"/>
        <v>0.00</v>
      </c>
      <c r="N52" s="21">
        <f t="shared" si="1"/>
        <v>0.72840000000000005</v>
      </c>
      <c r="O52" s="21">
        <f t="shared" si="2"/>
        <v>0</v>
      </c>
      <c r="P52" s="21">
        <f t="shared" si="3"/>
        <v>51.0182</v>
      </c>
    </row>
    <row r="53" spans="1:16" ht="15" customHeight="1" x14ac:dyDescent="0.3">
      <c r="A53" s="7" t="s">
        <v>57</v>
      </c>
      <c r="B53" s="7" t="s">
        <v>502</v>
      </c>
      <c r="C53" s="3" t="s">
        <v>619</v>
      </c>
      <c r="D53" s="8" t="s">
        <v>1</v>
      </c>
      <c r="E53" s="8" t="s">
        <v>12</v>
      </c>
      <c r="F53" s="6">
        <v>90</v>
      </c>
      <c r="G53" s="2">
        <v>2.0455000000000001</v>
      </c>
      <c r="H53" s="2">
        <v>0.30070000000000002</v>
      </c>
      <c r="I53" s="2">
        <v>9.6000000000000002E-2</v>
      </c>
      <c r="J53" s="2">
        <v>81.869600000000005</v>
      </c>
      <c r="K53" s="2">
        <v>11.870100000000001</v>
      </c>
      <c r="L53" s="2">
        <v>3.7711999999999999</v>
      </c>
      <c r="M53" s="20" t="str">
        <f t="shared" si="0"/>
        <v>-85.30</v>
      </c>
      <c r="N53" s="21">
        <f t="shared" si="1"/>
        <v>1.7448000000000001</v>
      </c>
      <c r="O53" s="21">
        <f t="shared" si="2"/>
        <v>8.0989000000000004</v>
      </c>
      <c r="P53" s="21">
        <f t="shared" si="3"/>
        <v>69.999500000000012</v>
      </c>
    </row>
    <row r="54" spans="1:16" ht="15" customHeight="1" x14ac:dyDescent="0.3">
      <c r="A54" s="7" t="s">
        <v>58</v>
      </c>
      <c r="B54" s="7" t="s">
        <v>503</v>
      </c>
      <c r="C54" s="3" t="s">
        <v>620</v>
      </c>
      <c r="D54" s="8" t="s">
        <v>1</v>
      </c>
      <c r="E54" s="8" t="s">
        <v>2</v>
      </c>
      <c r="F54" s="6">
        <v>120</v>
      </c>
      <c r="G54" s="2">
        <v>1.0717000000000001</v>
      </c>
      <c r="H54" s="2">
        <v>1.6845000000000001</v>
      </c>
      <c r="I54" s="2">
        <v>0.2092</v>
      </c>
      <c r="J54" s="2">
        <v>53.428199999999997</v>
      </c>
      <c r="K54" s="2">
        <v>83.401399999999995</v>
      </c>
      <c r="L54" s="2">
        <v>9.5612999999999992</v>
      </c>
      <c r="M54" s="20" t="str">
        <f t="shared" si="0"/>
        <v>57.18</v>
      </c>
      <c r="N54" s="21">
        <f t="shared" si="1"/>
        <v>-0.61280000000000001</v>
      </c>
      <c r="O54" s="21">
        <f t="shared" si="2"/>
        <v>73.840099999999993</v>
      </c>
      <c r="P54" s="21">
        <f t="shared" si="3"/>
        <v>-29.973199999999999</v>
      </c>
    </row>
    <row r="55" spans="1:16" ht="15" customHeight="1" x14ac:dyDescent="0.3">
      <c r="A55" s="7" t="s">
        <v>59</v>
      </c>
      <c r="B55" s="7" t="s">
        <v>503</v>
      </c>
      <c r="C55" s="3" t="s">
        <v>620</v>
      </c>
      <c r="D55" s="8" t="s">
        <v>1</v>
      </c>
      <c r="E55" s="8" t="s">
        <v>2</v>
      </c>
      <c r="F55" s="6">
        <v>72</v>
      </c>
      <c r="G55" s="2">
        <v>0.46760000000000002</v>
      </c>
      <c r="H55" s="2">
        <v>0.37340000000000001</v>
      </c>
      <c r="I55" s="2">
        <v>0.47289999999999999</v>
      </c>
      <c r="J55" s="2">
        <v>17.929200000000002</v>
      </c>
      <c r="K55" s="2">
        <v>13.441700000000001</v>
      </c>
      <c r="L55" s="2">
        <v>18.149699999999999</v>
      </c>
      <c r="M55" s="20" t="str">
        <f t="shared" si="0"/>
        <v>-20.15</v>
      </c>
      <c r="N55" s="21">
        <f t="shared" si="1"/>
        <v>9.4200000000000006E-2</v>
      </c>
      <c r="O55" s="21">
        <f t="shared" si="2"/>
        <v>-4.7079999999999984</v>
      </c>
      <c r="P55" s="21">
        <f t="shared" si="3"/>
        <v>4.4875000000000007</v>
      </c>
    </row>
    <row r="56" spans="1:16" ht="15" customHeight="1" x14ac:dyDescent="0.3">
      <c r="A56" s="7" t="s">
        <v>60</v>
      </c>
      <c r="B56" s="7" t="s">
        <v>504</v>
      </c>
      <c r="C56" s="3" t="s">
        <v>621</v>
      </c>
      <c r="D56" s="8" t="s">
        <v>1</v>
      </c>
      <c r="E56" s="8" t="s">
        <v>2</v>
      </c>
      <c r="F56" s="6">
        <v>20</v>
      </c>
      <c r="G56" s="2">
        <v>4.4499999999999998E-2</v>
      </c>
      <c r="H56" s="2">
        <v>6.2E-2</v>
      </c>
      <c r="I56" s="2">
        <v>0</v>
      </c>
      <c r="J56" s="2">
        <v>0.36759999999999998</v>
      </c>
      <c r="K56" s="2">
        <v>0.48380000000000001</v>
      </c>
      <c r="L56" s="2">
        <v>0</v>
      </c>
      <c r="M56" s="20" t="str">
        <f t="shared" si="0"/>
        <v>39.33</v>
      </c>
      <c r="N56" s="21">
        <f t="shared" si="1"/>
        <v>-1.7500000000000002E-2</v>
      </c>
      <c r="O56" s="21">
        <f t="shared" si="2"/>
        <v>0.48380000000000001</v>
      </c>
      <c r="P56" s="21">
        <f t="shared" si="3"/>
        <v>-0.11620000000000003</v>
      </c>
    </row>
    <row r="57" spans="1:16" ht="15" customHeight="1" x14ac:dyDescent="0.3">
      <c r="A57" s="7" t="s">
        <v>61</v>
      </c>
      <c r="B57" s="7" t="s">
        <v>505</v>
      </c>
      <c r="C57" s="3" t="s">
        <v>622</v>
      </c>
      <c r="D57" s="8" t="s">
        <v>1</v>
      </c>
      <c r="E57" s="8" t="s">
        <v>2</v>
      </c>
      <c r="F57" s="6">
        <v>72</v>
      </c>
      <c r="G57" s="2">
        <v>3.3401000000000001</v>
      </c>
      <c r="H57" s="2">
        <v>5.1974</v>
      </c>
      <c r="I57" s="2">
        <v>3.7094999999999998</v>
      </c>
      <c r="J57" s="2">
        <v>168.65979999999999</v>
      </c>
      <c r="K57" s="2">
        <v>278.62639999999999</v>
      </c>
      <c r="L57" s="2">
        <v>222.0746</v>
      </c>
      <c r="M57" s="20" t="str">
        <f t="shared" si="0"/>
        <v>55.61</v>
      </c>
      <c r="N57" s="21">
        <f t="shared" si="1"/>
        <v>-1.8573</v>
      </c>
      <c r="O57" s="21">
        <f t="shared" si="2"/>
        <v>56.551799999999986</v>
      </c>
      <c r="P57" s="21">
        <f t="shared" si="3"/>
        <v>-109.9666</v>
      </c>
    </row>
    <row r="58" spans="1:16" ht="15" customHeight="1" x14ac:dyDescent="0.3">
      <c r="A58" s="7" t="s">
        <v>62</v>
      </c>
      <c r="B58" s="7" t="s">
        <v>505</v>
      </c>
      <c r="C58" s="3" t="s">
        <v>623</v>
      </c>
      <c r="D58" s="8" t="s">
        <v>1</v>
      </c>
      <c r="E58" s="8" t="s">
        <v>12</v>
      </c>
      <c r="F58" s="6">
        <v>120</v>
      </c>
      <c r="G58" s="2">
        <v>1.2582</v>
      </c>
      <c r="H58" s="2">
        <v>4.4390999999999998</v>
      </c>
      <c r="I58" s="2">
        <v>0.70909999999999995</v>
      </c>
      <c r="J58" s="2">
        <v>67.526600000000002</v>
      </c>
      <c r="K58" s="2">
        <v>226.15649999999999</v>
      </c>
      <c r="L58" s="2">
        <v>33.759099999999997</v>
      </c>
      <c r="M58" s="20" t="str">
        <f t="shared" si="0"/>
        <v>252.81</v>
      </c>
      <c r="N58" s="21">
        <f t="shared" si="1"/>
        <v>-3.1808999999999998</v>
      </c>
      <c r="O58" s="21">
        <f t="shared" si="2"/>
        <v>192.3974</v>
      </c>
      <c r="P58" s="21">
        <f t="shared" si="3"/>
        <v>-158.62989999999999</v>
      </c>
    </row>
    <row r="59" spans="1:16" ht="15" customHeight="1" x14ac:dyDescent="0.3">
      <c r="A59" s="7" t="s">
        <v>63</v>
      </c>
      <c r="B59" s="7" t="s">
        <v>505</v>
      </c>
      <c r="C59" s="3" t="s">
        <v>623</v>
      </c>
      <c r="D59" s="8" t="s">
        <v>1</v>
      </c>
      <c r="E59" s="8" t="s">
        <v>12</v>
      </c>
      <c r="F59" s="6">
        <v>120</v>
      </c>
      <c r="G59" s="2">
        <v>4.5986000000000002</v>
      </c>
      <c r="H59" s="2">
        <v>6.1303000000000001</v>
      </c>
      <c r="I59" s="2">
        <v>2.8555999999999999</v>
      </c>
      <c r="J59" s="2">
        <v>228.69929999999999</v>
      </c>
      <c r="K59" s="2">
        <v>310.51369999999997</v>
      </c>
      <c r="L59" s="2">
        <v>123.6022</v>
      </c>
      <c r="M59" s="20" t="str">
        <f t="shared" si="0"/>
        <v>33.31</v>
      </c>
      <c r="N59" s="21">
        <f t="shared" si="1"/>
        <v>-1.5316999999999998</v>
      </c>
      <c r="O59" s="21">
        <f t="shared" si="2"/>
        <v>186.91149999999999</v>
      </c>
      <c r="P59" s="21">
        <f t="shared" si="3"/>
        <v>-81.814399999999978</v>
      </c>
    </row>
    <row r="60" spans="1:16" ht="15" customHeight="1" x14ac:dyDescent="0.3">
      <c r="A60" s="7" t="s">
        <v>64</v>
      </c>
      <c r="B60" s="7" t="s">
        <v>505</v>
      </c>
      <c r="C60" s="3" t="s">
        <v>623</v>
      </c>
      <c r="D60" s="8" t="s">
        <v>1</v>
      </c>
      <c r="E60" s="8" t="s">
        <v>12</v>
      </c>
      <c r="F60" s="6">
        <v>72</v>
      </c>
      <c r="G60" s="2">
        <v>0.94640000000000002</v>
      </c>
      <c r="H60" s="2">
        <v>1.6005</v>
      </c>
      <c r="I60" s="2">
        <v>1.0179</v>
      </c>
      <c r="J60" s="2">
        <v>54.868499999999997</v>
      </c>
      <c r="K60" s="2">
        <v>87.027500000000003</v>
      </c>
      <c r="L60" s="2">
        <v>38.080399999999997</v>
      </c>
      <c r="M60" s="20" t="str">
        <f t="shared" si="0"/>
        <v>69.11</v>
      </c>
      <c r="N60" s="21">
        <f t="shared" si="1"/>
        <v>-0.65410000000000001</v>
      </c>
      <c r="O60" s="21">
        <f t="shared" si="2"/>
        <v>48.947100000000006</v>
      </c>
      <c r="P60" s="21">
        <f t="shared" si="3"/>
        <v>-32.159000000000006</v>
      </c>
    </row>
    <row r="61" spans="1:16" ht="15" customHeight="1" x14ac:dyDescent="0.3">
      <c r="A61" s="7" t="s">
        <v>65</v>
      </c>
      <c r="B61" s="7" t="s">
        <v>505</v>
      </c>
      <c r="C61" s="3" t="s">
        <v>623</v>
      </c>
      <c r="D61" s="8" t="s">
        <v>1</v>
      </c>
      <c r="E61" s="8" t="s">
        <v>5</v>
      </c>
      <c r="F61" s="6">
        <v>72</v>
      </c>
      <c r="G61" s="2">
        <v>1.8199000000000001</v>
      </c>
      <c r="H61" s="2">
        <v>0.76910000000000001</v>
      </c>
      <c r="I61" s="2">
        <v>0.73480000000000001</v>
      </c>
      <c r="J61" s="2">
        <v>83.522300000000001</v>
      </c>
      <c r="K61" s="2">
        <v>35.127499999999998</v>
      </c>
      <c r="L61" s="2">
        <v>37.258200000000002</v>
      </c>
      <c r="M61" s="20" t="str">
        <f t="shared" si="0"/>
        <v>-57.74</v>
      </c>
      <c r="N61" s="21">
        <f t="shared" si="1"/>
        <v>1.0508000000000002</v>
      </c>
      <c r="O61" s="21">
        <f t="shared" si="2"/>
        <v>-2.1307000000000045</v>
      </c>
      <c r="P61" s="21">
        <f t="shared" si="3"/>
        <v>48.394800000000004</v>
      </c>
    </row>
    <row r="62" spans="1:16" ht="15" customHeight="1" x14ac:dyDescent="0.3">
      <c r="A62" s="7" t="s">
        <v>66</v>
      </c>
      <c r="B62" s="7" t="s">
        <v>506</v>
      </c>
      <c r="C62" s="3" t="s">
        <v>728</v>
      </c>
      <c r="D62" s="8" t="s">
        <v>1</v>
      </c>
      <c r="E62" s="8" t="s">
        <v>12</v>
      </c>
      <c r="F62" s="6">
        <v>120</v>
      </c>
      <c r="G62" s="2">
        <v>0</v>
      </c>
      <c r="H62" s="2">
        <v>10.5616</v>
      </c>
      <c r="I62" s="2">
        <v>42.6479</v>
      </c>
      <c r="J62" s="2">
        <v>0</v>
      </c>
      <c r="K62" s="2">
        <v>483.39569999999998</v>
      </c>
      <c r="L62" s="2">
        <v>1689.356</v>
      </c>
      <c r="M62" s="20" t="str">
        <f t="shared" si="0"/>
        <v>0.00</v>
      </c>
      <c r="N62" s="21">
        <f t="shared" si="1"/>
        <v>-10.5616</v>
      </c>
      <c r="O62" s="21">
        <f t="shared" si="2"/>
        <v>-1205.9603</v>
      </c>
      <c r="P62" s="21">
        <f t="shared" si="3"/>
        <v>-483.39569999999998</v>
      </c>
    </row>
    <row r="63" spans="1:16" ht="15" customHeight="1" x14ac:dyDescent="0.3">
      <c r="A63" s="7" t="s">
        <v>67</v>
      </c>
      <c r="B63" s="7" t="s">
        <v>506</v>
      </c>
      <c r="C63" s="3" t="s">
        <v>728</v>
      </c>
      <c r="D63" s="8" t="s">
        <v>1</v>
      </c>
      <c r="E63" s="8" t="s">
        <v>12</v>
      </c>
      <c r="F63" s="6">
        <v>50</v>
      </c>
      <c r="G63" s="2">
        <v>0</v>
      </c>
      <c r="H63" s="2">
        <v>2.0855999999999999</v>
      </c>
      <c r="I63" s="2">
        <v>2.5316000000000001</v>
      </c>
      <c r="J63" s="2">
        <v>0</v>
      </c>
      <c r="K63" s="2">
        <v>61.262700000000002</v>
      </c>
      <c r="L63" s="2">
        <v>71.165300000000002</v>
      </c>
      <c r="M63" s="20" t="str">
        <f t="shared" si="0"/>
        <v>0.00</v>
      </c>
      <c r="N63" s="21">
        <f t="shared" si="1"/>
        <v>-2.0855999999999999</v>
      </c>
      <c r="O63" s="21">
        <f t="shared" si="2"/>
        <v>-9.9025999999999996</v>
      </c>
      <c r="P63" s="21">
        <f t="shared" si="3"/>
        <v>-61.262700000000002</v>
      </c>
    </row>
    <row r="64" spans="1:16" ht="15" customHeight="1" x14ac:dyDescent="0.3">
      <c r="A64" s="7" t="s">
        <v>68</v>
      </c>
      <c r="B64" s="7" t="s">
        <v>506</v>
      </c>
      <c r="C64" s="3" t="s">
        <v>728</v>
      </c>
      <c r="D64" s="8" t="s">
        <v>1</v>
      </c>
      <c r="E64" s="8" t="s">
        <v>12</v>
      </c>
      <c r="F64" s="6">
        <v>72</v>
      </c>
      <c r="G64" s="2">
        <v>0</v>
      </c>
      <c r="H64" s="2">
        <v>0.54479999999999995</v>
      </c>
      <c r="I64" s="2">
        <v>7.6315999999999997</v>
      </c>
      <c r="J64" s="2">
        <v>0</v>
      </c>
      <c r="K64" s="2">
        <v>20.880700000000001</v>
      </c>
      <c r="L64" s="2">
        <v>330.70479999999998</v>
      </c>
      <c r="M64" s="20" t="str">
        <f t="shared" si="0"/>
        <v>0.00</v>
      </c>
      <c r="N64" s="21">
        <f t="shared" si="1"/>
        <v>-0.54479999999999995</v>
      </c>
      <c r="O64" s="21">
        <f t="shared" si="2"/>
        <v>-309.82409999999999</v>
      </c>
      <c r="P64" s="21">
        <f t="shared" si="3"/>
        <v>-20.880700000000001</v>
      </c>
    </row>
    <row r="65" spans="1:16" ht="15" customHeight="1" x14ac:dyDescent="0.3">
      <c r="A65" s="7" t="s">
        <v>69</v>
      </c>
      <c r="B65" s="7" t="s">
        <v>507</v>
      </c>
      <c r="C65" s="3" t="s">
        <v>624</v>
      </c>
      <c r="D65" s="8" t="s">
        <v>1</v>
      </c>
      <c r="E65" s="8" t="s">
        <v>41</v>
      </c>
      <c r="F65" s="6">
        <v>60</v>
      </c>
      <c r="G65" s="2">
        <v>0</v>
      </c>
      <c r="H65" s="2">
        <v>1.5012000000000001</v>
      </c>
      <c r="I65" s="2">
        <v>0.18310000000000001</v>
      </c>
      <c r="J65" s="2">
        <v>0</v>
      </c>
      <c r="K65" s="2">
        <v>36.194499999999998</v>
      </c>
      <c r="L65" s="2">
        <v>4.9927999999999999</v>
      </c>
      <c r="M65" s="20" t="str">
        <f t="shared" si="0"/>
        <v>0.00</v>
      </c>
      <c r="N65" s="21">
        <f t="shared" si="1"/>
        <v>-1.5012000000000001</v>
      </c>
      <c r="O65" s="21">
        <f t="shared" si="2"/>
        <v>31.201699999999999</v>
      </c>
      <c r="P65" s="21">
        <f t="shared" si="3"/>
        <v>-36.194499999999998</v>
      </c>
    </row>
    <row r="66" spans="1:16" ht="15" customHeight="1" x14ac:dyDescent="0.3">
      <c r="A66" s="7" t="s">
        <v>70</v>
      </c>
      <c r="B66" s="7" t="s">
        <v>507</v>
      </c>
      <c r="C66" s="3" t="s">
        <v>624</v>
      </c>
      <c r="D66" s="8" t="s">
        <v>1</v>
      </c>
      <c r="E66" s="8" t="s">
        <v>12</v>
      </c>
      <c r="F66" s="6">
        <v>72</v>
      </c>
      <c r="G66" s="2">
        <v>3.1665000000000001</v>
      </c>
      <c r="H66" s="2">
        <v>0.6875</v>
      </c>
      <c r="I66" s="2">
        <v>0.27989999999999998</v>
      </c>
      <c r="J66" s="2">
        <v>65.203199999999995</v>
      </c>
      <c r="K66" s="2">
        <v>14.1759</v>
      </c>
      <c r="L66" s="2">
        <v>5.1737000000000002</v>
      </c>
      <c r="M66" s="20" t="str">
        <f t="shared" si="0"/>
        <v>-78.29</v>
      </c>
      <c r="N66" s="21">
        <f t="shared" si="1"/>
        <v>2.4790000000000001</v>
      </c>
      <c r="O66" s="21">
        <f t="shared" si="2"/>
        <v>9.0022000000000002</v>
      </c>
      <c r="P66" s="21">
        <f t="shared" si="3"/>
        <v>51.027299999999997</v>
      </c>
    </row>
    <row r="67" spans="1:16" ht="15" customHeight="1" x14ac:dyDescent="0.3">
      <c r="A67" s="7" t="s">
        <v>71</v>
      </c>
      <c r="B67" s="7" t="s">
        <v>508</v>
      </c>
      <c r="C67" s="3" t="s">
        <v>625</v>
      </c>
      <c r="D67" s="8" t="s">
        <v>1</v>
      </c>
      <c r="E67" s="8" t="s">
        <v>5</v>
      </c>
      <c r="F67" s="6">
        <v>72</v>
      </c>
      <c r="G67" s="2">
        <v>0</v>
      </c>
      <c r="H67" s="2">
        <v>0</v>
      </c>
      <c r="I67" s="2">
        <v>5.57E-2</v>
      </c>
      <c r="J67" s="2">
        <v>0</v>
      </c>
      <c r="K67" s="2">
        <v>0</v>
      </c>
      <c r="L67" s="2">
        <v>1.7425999999999999</v>
      </c>
      <c r="M67" s="20" t="str">
        <f t="shared" ref="M67:M130" si="4">IF(OR(G67=0, H67=0), "0.00", TEXT((H67-G67)/G67*100, "0.00"))</f>
        <v>0.00</v>
      </c>
      <c r="N67" s="21">
        <f t="shared" ref="N67:N130" si="5">G67-H67</f>
        <v>0</v>
      </c>
      <c r="O67" s="21">
        <f t="shared" ref="O67:O130" si="6">K67-L67</f>
        <v>-1.7425999999999999</v>
      </c>
      <c r="P67" s="21">
        <f t="shared" ref="P67:P130" si="7">J67-K67</f>
        <v>0</v>
      </c>
    </row>
    <row r="68" spans="1:16" ht="15" customHeight="1" x14ac:dyDescent="0.3">
      <c r="A68" s="7" t="s">
        <v>72</v>
      </c>
      <c r="B68" s="7" t="s">
        <v>509</v>
      </c>
      <c r="C68" s="3" t="s">
        <v>729</v>
      </c>
      <c r="D68" s="8" t="s">
        <v>1</v>
      </c>
      <c r="E68" s="8" t="s">
        <v>5</v>
      </c>
      <c r="F68" s="6">
        <v>140</v>
      </c>
      <c r="G68" s="2">
        <v>209.29769999999999</v>
      </c>
      <c r="H68" s="2">
        <v>236.50559999999999</v>
      </c>
      <c r="I68" s="2">
        <v>198.2927</v>
      </c>
      <c r="J68" s="2">
        <v>7336.5478999999996</v>
      </c>
      <c r="K68" s="2">
        <v>8103.1085000000003</v>
      </c>
      <c r="L68" s="2">
        <v>7048.5825999999997</v>
      </c>
      <c r="M68" s="20" t="str">
        <f t="shared" si="4"/>
        <v>13.00</v>
      </c>
      <c r="N68" s="21">
        <f t="shared" si="5"/>
        <v>-27.207899999999995</v>
      </c>
      <c r="O68" s="21">
        <f t="shared" si="6"/>
        <v>1054.5259000000005</v>
      </c>
      <c r="P68" s="21">
        <f t="shared" si="7"/>
        <v>-766.5606000000007</v>
      </c>
    </row>
    <row r="69" spans="1:16" ht="15" customHeight="1" x14ac:dyDescent="0.3">
      <c r="A69" s="7" t="s">
        <v>73</v>
      </c>
      <c r="B69" s="7" t="s">
        <v>509</v>
      </c>
      <c r="C69" s="3" t="s">
        <v>729</v>
      </c>
      <c r="D69" s="8" t="s">
        <v>1</v>
      </c>
      <c r="E69" s="8" t="s">
        <v>5</v>
      </c>
      <c r="F69" s="6">
        <v>140</v>
      </c>
      <c r="G69" s="2">
        <v>2.7799999999999998E-2</v>
      </c>
      <c r="H69" s="2">
        <v>4.5999999999999999E-3</v>
      </c>
      <c r="I69" s="2">
        <v>0</v>
      </c>
      <c r="J69" s="2">
        <v>1.2</v>
      </c>
      <c r="K69" s="2">
        <v>0.2</v>
      </c>
      <c r="L69" s="2">
        <v>0</v>
      </c>
      <c r="M69" s="20" t="str">
        <f t="shared" si="4"/>
        <v>-83.45</v>
      </c>
      <c r="N69" s="21">
        <f t="shared" si="5"/>
        <v>2.3199999999999998E-2</v>
      </c>
      <c r="O69" s="21">
        <f t="shared" si="6"/>
        <v>0.2</v>
      </c>
      <c r="P69" s="21">
        <f t="shared" si="7"/>
        <v>1</v>
      </c>
    </row>
    <row r="70" spans="1:16" ht="15" customHeight="1" x14ac:dyDescent="0.3">
      <c r="A70" s="7" t="s">
        <v>74</v>
      </c>
      <c r="B70" s="7" t="s">
        <v>509</v>
      </c>
      <c r="C70" s="3" t="s">
        <v>729</v>
      </c>
      <c r="D70" s="8" t="s">
        <v>1</v>
      </c>
      <c r="E70" s="8" t="s">
        <v>5</v>
      </c>
      <c r="F70" s="6">
        <v>20</v>
      </c>
      <c r="G70" s="2">
        <v>27.777100000000001</v>
      </c>
      <c r="H70" s="2">
        <v>19.717700000000001</v>
      </c>
      <c r="I70" s="2">
        <v>14.4848</v>
      </c>
      <c r="J70" s="2">
        <v>429.91730000000001</v>
      </c>
      <c r="K70" s="2">
        <v>309.96710000000002</v>
      </c>
      <c r="L70" s="2">
        <v>229.3313</v>
      </c>
      <c r="M70" s="20" t="str">
        <f t="shared" si="4"/>
        <v>-29.01</v>
      </c>
      <c r="N70" s="21">
        <f t="shared" si="5"/>
        <v>8.0594000000000001</v>
      </c>
      <c r="O70" s="21">
        <f t="shared" si="6"/>
        <v>80.635800000000017</v>
      </c>
      <c r="P70" s="21">
        <f t="shared" si="7"/>
        <v>119.9502</v>
      </c>
    </row>
    <row r="71" spans="1:16" ht="15" customHeight="1" x14ac:dyDescent="0.3">
      <c r="A71" s="7" t="s">
        <v>75</v>
      </c>
      <c r="B71" s="7" t="s">
        <v>509</v>
      </c>
      <c r="C71" s="3" t="s">
        <v>729</v>
      </c>
      <c r="D71" s="8" t="s">
        <v>1</v>
      </c>
      <c r="E71" s="8" t="s">
        <v>41</v>
      </c>
      <c r="F71" s="6">
        <v>20</v>
      </c>
      <c r="G71" s="2">
        <v>40.515599999999999</v>
      </c>
      <c r="H71" s="2">
        <v>34.999099999999999</v>
      </c>
      <c r="I71" s="2">
        <v>5.7746000000000004</v>
      </c>
      <c r="J71" s="2">
        <v>630.63189999999997</v>
      </c>
      <c r="K71" s="2">
        <v>558.36739999999998</v>
      </c>
      <c r="L71" s="2">
        <v>90.998999999999995</v>
      </c>
      <c r="M71" s="20" t="str">
        <f t="shared" si="4"/>
        <v>-13.62</v>
      </c>
      <c r="N71" s="21">
        <f t="shared" si="5"/>
        <v>5.5165000000000006</v>
      </c>
      <c r="O71" s="21">
        <f t="shared" si="6"/>
        <v>467.36839999999995</v>
      </c>
      <c r="P71" s="21">
        <f t="shared" si="7"/>
        <v>72.264499999999998</v>
      </c>
    </row>
    <row r="72" spans="1:16" ht="15" customHeight="1" x14ac:dyDescent="0.3">
      <c r="A72" s="7" t="s">
        <v>76</v>
      </c>
      <c r="B72" s="7" t="s">
        <v>509</v>
      </c>
      <c r="C72" s="3" t="s">
        <v>729</v>
      </c>
      <c r="D72" s="8" t="s">
        <v>1</v>
      </c>
      <c r="E72" s="8" t="s">
        <v>5</v>
      </c>
      <c r="F72" s="6">
        <v>25</v>
      </c>
      <c r="G72" s="2">
        <v>61.397500000000001</v>
      </c>
      <c r="H72" s="2">
        <v>45.295999999999999</v>
      </c>
      <c r="I72" s="2">
        <v>19.337599999999998</v>
      </c>
      <c r="J72" s="2">
        <v>1027.2618</v>
      </c>
      <c r="K72" s="2">
        <v>758.06629999999996</v>
      </c>
      <c r="L72" s="2">
        <v>328.18349999999998</v>
      </c>
      <c r="M72" s="20" t="str">
        <f t="shared" si="4"/>
        <v>-26.23</v>
      </c>
      <c r="N72" s="21">
        <f t="shared" si="5"/>
        <v>16.101500000000001</v>
      </c>
      <c r="O72" s="21">
        <f t="shared" si="6"/>
        <v>429.88279999999997</v>
      </c>
      <c r="P72" s="21">
        <f t="shared" si="7"/>
        <v>269.19550000000004</v>
      </c>
    </row>
    <row r="73" spans="1:16" ht="15" customHeight="1" x14ac:dyDescent="0.3">
      <c r="A73" s="7" t="s">
        <v>77</v>
      </c>
      <c r="B73" s="7" t="s">
        <v>509</v>
      </c>
      <c r="C73" s="3" t="s">
        <v>729</v>
      </c>
      <c r="D73" s="8" t="s">
        <v>1</v>
      </c>
      <c r="E73" s="8" t="s">
        <v>5</v>
      </c>
      <c r="F73" s="6">
        <v>25</v>
      </c>
      <c r="G73" s="2">
        <v>1.03E-2</v>
      </c>
      <c r="H73" s="2">
        <v>1.6999999999999999E-3</v>
      </c>
      <c r="I73" s="2">
        <v>0</v>
      </c>
      <c r="J73" s="2">
        <v>0.21429999999999999</v>
      </c>
      <c r="K73" s="2">
        <v>3.5700000000000003E-2</v>
      </c>
      <c r="L73" s="2">
        <v>0</v>
      </c>
      <c r="M73" s="20" t="str">
        <f t="shared" si="4"/>
        <v>-83.50</v>
      </c>
      <c r="N73" s="21">
        <f t="shared" si="5"/>
        <v>8.6E-3</v>
      </c>
      <c r="O73" s="21">
        <f t="shared" si="6"/>
        <v>3.5700000000000003E-2</v>
      </c>
      <c r="P73" s="21">
        <f t="shared" si="7"/>
        <v>0.17859999999999998</v>
      </c>
    </row>
    <row r="74" spans="1:16" ht="15" customHeight="1" x14ac:dyDescent="0.3">
      <c r="A74" s="7" t="s">
        <v>78</v>
      </c>
      <c r="B74" s="7" t="s">
        <v>509</v>
      </c>
      <c r="C74" s="3" t="s">
        <v>729</v>
      </c>
      <c r="D74" s="8" t="s">
        <v>1</v>
      </c>
      <c r="E74" s="8" t="s">
        <v>45</v>
      </c>
      <c r="F74" s="6">
        <v>30</v>
      </c>
      <c r="G74" s="2">
        <v>0</v>
      </c>
      <c r="H74" s="2">
        <v>0</v>
      </c>
      <c r="I74" s="2">
        <v>8.3928999999999991</v>
      </c>
      <c r="J74" s="2">
        <v>0</v>
      </c>
      <c r="K74" s="2">
        <v>0</v>
      </c>
      <c r="L74" s="2">
        <v>185.37119999999999</v>
      </c>
      <c r="M74" s="20" t="str">
        <f t="shared" si="4"/>
        <v>0.00</v>
      </c>
      <c r="N74" s="21">
        <f t="shared" si="5"/>
        <v>0</v>
      </c>
      <c r="O74" s="21">
        <f t="shared" si="6"/>
        <v>-185.37119999999999</v>
      </c>
      <c r="P74" s="21">
        <f t="shared" si="7"/>
        <v>0</v>
      </c>
    </row>
    <row r="75" spans="1:16" ht="15" customHeight="1" x14ac:dyDescent="0.3">
      <c r="A75" s="7" t="s">
        <v>79</v>
      </c>
      <c r="B75" s="7" t="s">
        <v>509</v>
      </c>
      <c r="C75" s="3" t="s">
        <v>729</v>
      </c>
      <c r="D75" s="8" t="s">
        <v>1</v>
      </c>
      <c r="E75" s="8" t="s">
        <v>45</v>
      </c>
      <c r="F75" s="6">
        <v>64</v>
      </c>
      <c r="G75" s="2">
        <v>11.2281</v>
      </c>
      <c r="H75" s="2">
        <v>7.5716999999999999</v>
      </c>
      <c r="I75" s="2">
        <v>1.9255</v>
      </c>
      <c r="J75" s="2">
        <v>325.11810000000003</v>
      </c>
      <c r="K75" s="2">
        <v>236.1233</v>
      </c>
      <c r="L75" s="2">
        <v>61.869799999999998</v>
      </c>
      <c r="M75" s="20" t="str">
        <f t="shared" si="4"/>
        <v>-32.56</v>
      </c>
      <c r="N75" s="21">
        <f t="shared" si="5"/>
        <v>3.6563999999999997</v>
      </c>
      <c r="O75" s="21">
        <f t="shared" si="6"/>
        <v>174.2535</v>
      </c>
      <c r="P75" s="21">
        <f t="shared" si="7"/>
        <v>88.994800000000026</v>
      </c>
    </row>
    <row r="76" spans="1:16" ht="15" customHeight="1" x14ac:dyDescent="0.3">
      <c r="A76" s="7" t="s">
        <v>80</v>
      </c>
      <c r="B76" s="7" t="s">
        <v>509</v>
      </c>
      <c r="C76" s="3" t="s">
        <v>729</v>
      </c>
      <c r="D76" s="8" t="s">
        <v>1</v>
      </c>
      <c r="E76" s="8" t="s">
        <v>45</v>
      </c>
      <c r="F76" s="6">
        <v>72</v>
      </c>
      <c r="G76" s="2">
        <v>56.268599999999999</v>
      </c>
      <c r="H76" s="2">
        <v>22.377800000000001</v>
      </c>
      <c r="I76" s="2">
        <v>12.435499999999999</v>
      </c>
      <c r="J76" s="2">
        <v>1799.2518</v>
      </c>
      <c r="K76" s="2">
        <v>721.99059999999997</v>
      </c>
      <c r="L76" s="2">
        <v>385.45190000000002</v>
      </c>
      <c r="M76" s="20" t="str">
        <f t="shared" si="4"/>
        <v>-60.23</v>
      </c>
      <c r="N76" s="21">
        <f t="shared" si="5"/>
        <v>33.890799999999999</v>
      </c>
      <c r="O76" s="21">
        <f t="shared" si="6"/>
        <v>336.53869999999995</v>
      </c>
      <c r="P76" s="21">
        <f t="shared" si="7"/>
        <v>1077.2611999999999</v>
      </c>
    </row>
    <row r="77" spans="1:16" ht="15" customHeight="1" x14ac:dyDescent="0.3">
      <c r="A77" s="7" t="s">
        <v>81</v>
      </c>
      <c r="B77" s="7" t="s">
        <v>509</v>
      </c>
      <c r="C77" s="3" t="s">
        <v>729</v>
      </c>
      <c r="D77" s="8" t="s">
        <v>1</v>
      </c>
      <c r="E77" s="8" t="s">
        <v>2</v>
      </c>
      <c r="F77" s="6">
        <v>72</v>
      </c>
      <c r="G77" s="2">
        <v>0.64159999999999995</v>
      </c>
      <c r="H77" s="2">
        <v>0.34470000000000001</v>
      </c>
      <c r="I77" s="2">
        <v>0</v>
      </c>
      <c r="J77" s="2">
        <v>14.463900000000001</v>
      </c>
      <c r="K77" s="2">
        <v>7.3648999999999996</v>
      </c>
      <c r="L77" s="2">
        <v>0</v>
      </c>
      <c r="M77" s="20" t="str">
        <f t="shared" si="4"/>
        <v>-46.27</v>
      </c>
      <c r="N77" s="21">
        <f t="shared" si="5"/>
        <v>0.29689999999999994</v>
      </c>
      <c r="O77" s="21">
        <f t="shared" si="6"/>
        <v>7.3648999999999996</v>
      </c>
      <c r="P77" s="21">
        <f t="shared" si="7"/>
        <v>7.0990000000000011</v>
      </c>
    </row>
    <row r="78" spans="1:16" ht="15" customHeight="1" x14ac:dyDescent="0.3">
      <c r="A78" s="7" t="s">
        <v>82</v>
      </c>
      <c r="B78" s="7" t="s">
        <v>509</v>
      </c>
      <c r="C78" s="3" t="s">
        <v>729</v>
      </c>
      <c r="D78" s="8" t="s">
        <v>1</v>
      </c>
      <c r="E78" s="8" t="s">
        <v>41</v>
      </c>
      <c r="F78" s="6">
        <v>72</v>
      </c>
      <c r="G78" s="2">
        <v>64.480099999999993</v>
      </c>
      <c r="H78" s="2">
        <v>81.182500000000005</v>
      </c>
      <c r="I78" s="2">
        <v>15.496600000000001</v>
      </c>
      <c r="J78" s="2">
        <v>2159.5493999999999</v>
      </c>
      <c r="K78" s="2">
        <v>2486.1275000000001</v>
      </c>
      <c r="L78" s="2">
        <v>493.73469999999998</v>
      </c>
      <c r="M78" s="20" t="str">
        <f t="shared" si="4"/>
        <v>25.90</v>
      </c>
      <c r="N78" s="21">
        <f t="shared" si="5"/>
        <v>-16.702400000000011</v>
      </c>
      <c r="O78" s="21">
        <f t="shared" si="6"/>
        <v>1992.3928000000001</v>
      </c>
      <c r="P78" s="21">
        <f t="shared" si="7"/>
        <v>-326.57810000000018</v>
      </c>
    </row>
    <row r="79" spans="1:16" ht="15" customHeight="1" x14ac:dyDescent="0.3">
      <c r="A79" s="7" t="s">
        <v>83</v>
      </c>
      <c r="B79" s="7" t="s">
        <v>510</v>
      </c>
      <c r="C79" s="3" t="s">
        <v>730</v>
      </c>
      <c r="D79" s="8" t="s">
        <v>1</v>
      </c>
      <c r="E79" s="8" t="s">
        <v>5</v>
      </c>
      <c r="F79" s="6">
        <v>100</v>
      </c>
      <c r="G79" s="2">
        <v>0</v>
      </c>
      <c r="H79" s="2">
        <v>0</v>
      </c>
      <c r="I79" s="2">
        <v>0.24490000000000001</v>
      </c>
      <c r="J79" s="2">
        <v>0</v>
      </c>
      <c r="K79" s="2">
        <v>0</v>
      </c>
      <c r="L79" s="2">
        <v>9.7979000000000003</v>
      </c>
      <c r="M79" s="20" t="str">
        <f t="shared" si="4"/>
        <v>0.00</v>
      </c>
      <c r="N79" s="21">
        <f t="shared" si="5"/>
        <v>0</v>
      </c>
      <c r="O79" s="21">
        <f t="shared" si="6"/>
        <v>-9.7979000000000003</v>
      </c>
      <c r="P79" s="21">
        <f t="shared" si="7"/>
        <v>0</v>
      </c>
    </row>
    <row r="80" spans="1:16" ht="15" customHeight="1" x14ac:dyDescent="0.3">
      <c r="A80" s="7" t="s">
        <v>84</v>
      </c>
      <c r="B80" s="7" t="s">
        <v>510</v>
      </c>
      <c r="C80" s="3" t="s">
        <v>730</v>
      </c>
      <c r="D80" s="8" t="s">
        <v>1</v>
      </c>
      <c r="E80" s="8" t="s">
        <v>5</v>
      </c>
      <c r="F80" s="6">
        <v>100</v>
      </c>
      <c r="G80" s="2">
        <v>0.22359999999999999</v>
      </c>
      <c r="H80" s="2">
        <v>1.0136000000000001</v>
      </c>
      <c r="I80" s="2">
        <v>0.81230000000000002</v>
      </c>
      <c r="J80" s="2">
        <v>12.2155</v>
      </c>
      <c r="K80" s="2">
        <v>49.151600000000002</v>
      </c>
      <c r="L80" s="2">
        <v>34.919499999999999</v>
      </c>
      <c r="M80" s="20" t="str">
        <f t="shared" si="4"/>
        <v>353.31</v>
      </c>
      <c r="N80" s="21">
        <f t="shared" si="5"/>
        <v>-0.79</v>
      </c>
      <c r="O80" s="21">
        <f t="shared" si="6"/>
        <v>14.232100000000003</v>
      </c>
      <c r="P80" s="21">
        <f t="shared" si="7"/>
        <v>-36.936100000000003</v>
      </c>
    </row>
    <row r="81" spans="1:16" ht="15" customHeight="1" x14ac:dyDescent="0.3">
      <c r="A81" s="7" t="s">
        <v>85</v>
      </c>
      <c r="B81" s="7" t="s">
        <v>511</v>
      </c>
      <c r="C81" s="3" t="s">
        <v>731</v>
      </c>
      <c r="D81" s="8" t="s">
        <v>1</v>
      </c>
      <c r="E81" s="8" t="s">
        <v>2</v>
      </c>
      <c r="F81" s="6">
        <v>20</v>
      </c>
      <c r="G81" s="2">
        <v>15.0191</v>
      </c>
      <c r="H81" s="2">
        <v>17.616800000000001</v>
      </c>
      <c r="I81" s="2">
        <v>13.700200000000001</v>
      </c>
      <c r="J81" s="2">
        <v>121.4559</v>
      </c>
      <c r="K81" s="2">
        <v>162.24</v>
      </c>
      <c r="L81" s="2">
        <v>126.0534</v>
      </c>
      <c r="M81" s="20" t="str">
        <f t="shared" si="4"/>
        <v>17.30</v>
      </c>
      <c r="N81" s="21">
        <f t="shared" si="5"/>
        <v>-2.5977000000000015</v>
      </c>
      <c r="O81" s="21">
        <f t="shared" si="6"/>
        <v>36.186600000000013</v>
      </c>
      <c r="P81" s="21">
        <f t="shared" si="7"/>
        <v>-40.784100000000009</v>
      </c>
    </row>
    <row r="82" spans="1:16" ht="15" customHeight="1" x14ac:dyDescent="0.3">
      <c r="A82" s="7" t="s">
        <v>86</v>
      </c>
      <c r="B82" s="7" t="s">
        <v>511</v>
      </c>
      <c r="C82" s="3" t="s">
        <v>731</v>
      </c>
      <c r="D82" s="8" t="s">
        <v>1</v>
      </c>
      <c r="E82" s="8" t="s">
        <v>2</v>
      </c>
      <c r="F82" s="6">
        <v>60</v>
      </c>
      <c r="G82" s="2">
        <v>19.776399999999999</v>
      </c>
      <c r="H82" s="2">
        <v>13.798299999999999</v>
      </c>
      <c r="I82" s="2">
        <v>7.5656999999999996</v>
      </c>
      <c r="J82" s="2">
        <v>281.97280000000001</v>
      </c>
      <c r="K82" s="2">
        <v>222.7071</v>
      </c>
      <c r="L82" s="2">
        <v>118.9547</v>
      </c>
      <c r="M82" s="20" t="str">
        <f t="shared" si="4"/>
        <v>-30.23</v>
      </c>
      <c r="N82" s="21">
        <f t="shared" si="5"/>
        <v>5.9780999999999995</v>
      </c>
      <c r="O82" s="21">
        <f t="shared" si="6"/>
        <v>103.75239999999999</v>
      </c>
      <c r="P82" s="21">
        <f t="shared" si="7"/>
        <v>59.26570000000001</v>
      </c>
    </row>
    <row r="83" spans="1:16" ht="15" customHeight="1" x14ac:dyDescent="0.3">
      <c r="A83" s="7" t="s">
        <v>87</v>
      </c>
      <c r="B83" s="7" t="s">
        <v>511</v>
      </c>
      <c r="C83" s="3" t="s">
        <v>731</v>
      </c>
      <c r="D83" s="8" t="s">
        <v>1</v>
      </c>
      <c r="E83" s="8" t="s">
        <v>2</v>
      </c>
      <c r="F83" s="6">
        <v>63</v>
      </c>
      <c r="G83" s="2">
        <v>41.314100000000003</v>
      </c>
      <c r="H83" s="2">
        <v>32.422600000000003</v>
      </c>
      <c r="I83" s="2">
        <v>18.6829</v>
      </c>
      <c r="J83" s="2">
        <v>549.64080000000001</v>
      </c>
      <c r="K83" s="2">
        <v>416.84789999999998</v>
      </c>
      <c r="L83" s="2">
        <v>241.38910000000001</v>
      </c>
      <c r="M83" s="20" t="str">
        <f t="shared" si="4"/>
        <v>-21.52</v>
      </c>
      <c r="N83" s="21">
        <f t="shared" si="5"/>
        <v>8.8915000000000006</v>
      </c>
      <c r="O83" s="21">
        <f t="shared" si="6"/>
        <v>175.45879999999997</v>
      </c>
      <c r="P83" s="21">
        <f t="shared" si="7"/>
        <v>132.79290000000003</v>
      </c>
    </row>
    <row r="84" spans="1:16" ht="15" customHeight="1" x14ac:dyDescent="0.3">
      <c r="A84" s="7" t="s">
        <v>88</v>
      </c>
      <c r="B84" s="7" t="s">
        <v>511</v>
      </c>
      <c r="C84" s="3" t="s">
        <v>731</v>
      </c>
      <c r="D84" s="8" t="s">
        <v>1</v>
      </c>
      <c r="E84" s="8" t="s">
        <v>12</v>
      </c>
      <c r="F84" s="6">
        <v>63</v>
      </c>
      <c r="G84" s="2">
        <v>10.5054</v>
      </c>
      <c r="H84" s="2">
        <v>0.496</v>
      </c>
      <c r="I84" s="2">
        <v>0</v>
      </c>
      <c r="J84" s="2">
        <v>168.06010000000001</v>
      </c>
      <c r="K84" s="2">
        <v>9.3780000000000001</v>
      </c>
      <c r="L84" s="2">
        <v>0</v>
      </c>
      <c r="M84" s="20" t="str">
        <f t="shared" si="4"/>
        <v>-95.28</v>
      </c>
      <c r="N84" s="21">
        <f t="shared" si="5"/>
        <v>10.009399999999999</v>
      </c>
      <c r="O84" s="21">
        <f t="shared" si="6"/>
        <v>9.3780000000000001</v>
      </c>
      <c r="P84" s="21">
        <f t="shared" si="7"/>
        <v>158.68209999999999</v>
      </c>
    </row>
    <row r="85" spans="1:16" ht="15" customHeight="1" x14ac:dyDescent="0.3">
      <c r="A85" s="7" t="s">
        <v>89</v>
      </c>
      <c r="B85" s="7" t="s">
        <v>511</v>
      </c>
      <c r="C85" s="3" t="s">
        <v>731</v>
      </c>
      <c r="D85" s="8" t="s">
        <v>1</v>
      </c>
      <c r="E85" s="8" t="s">
        <v>2</v>
      </c>
      <c r="F85" s="6">
        <v>63</v>
      </c>
      <c r="G85" s="2">
        <v>26.694099999999999</v>
      </c>
      <c r="H85" s="2">
        <v>16.9801</v>
      </c>
      <c r="I85" s="2">
        <v>8.3484999999999996</v>
      </c>
      <c r="J85" s="2">
        <v>362.30340000000001</v>
      </c>
      <c r="K85" s="2">
        <v>234.6001</v>
      </c>
      <c r="L85" s="2">
        <v>111.9991</v>
      </c>
      <c r="M85" s="20" t="str">
        <f t="shared" si="4"/>
        <v>-36.39</v>
      </c>
      <c r="N85" s="21">
        <f t="shared" si="5"/>
        <v>9.7139999999999986</v>
      </c>
      <c r="O85" s="21">
        <f t="shared" si="6"/>
        <v>122.601</v>
      </c>
      <c r="P85" s="21">
        <f t="shared" si="7"/>
        <v>127.70330000000001</v>
      </c>
    </row>
    <row r="86" spans="1:16" ht="15" customHeight="1" x14ac:dyDescent="0.3">
      <c r="A86" s="7" t="s">
        <v>90</v>
      </c>
      <c r="B86" s="7" t="s">
        <v>512</v>
      </c>
      <c r="C86" s="3" t="s">
        <v>626</v>
      </c>
      <c r="D86" s="8" t="s">
        <v>1</v>
      </c>
      <c r="E86" s="8" t="s">
        <v>5</v>
      </c>
      <c r="F86" s="6">
        <v>60</v>
      </c>
      <c r="G86" s="2">
        <v>0.52039999999999997</v>
      </c>
      <c r="H86" s="2">
        <v>1.6072</v>
      </c>
      <c r="I86" s="2">
        <v>0.16420000000000001</v>
      </c>
      <c r="J86" s="2">
        <v>10.5198</v>
      </c>
      <c r="K86" s="2">
        <v>34.4998</v>
      </c>
      <c r="L86" s="2">
        <v>3.1461000000000001</v>
      </c>
      <c r="M86" s="20" t="str">
        <f t="shared" si="4"/>
        <v>208.84</v>
      </c>
      <c r="N86" s="21">
        <f t="shared" si="5"/>
        <v>-1.0868</v>
      </c>
      <c r="O86" s="21">
        <f t="shared" si="6"/>
        <v>31.3537</v>
      </c>
      <c r="P86" s="21">
        <f t="shared" si="7"/>
        <v>-23.98</v>
      </c>
    </row>
    <row r="87" spans="1:16" ht="15" customHeight="1" x14ac:dyDescent="0.3">
      <c r="A87" s="7" t="s">
        <v>91</v>
      </c>
      <c r="B87" s="7" t="s">
        <v>513</v>
      </c>
      <c r="C87" s="3" t="s">
        <v>732</v>
      </c>
      <c r="D87" s="8" t="s">
        <v>1</v>
      </c>
      <c r="E87" s="8" t="s">
        <v>5</v>
      </c>
      <c r="F87" s="6">
        <v>72</v>
      </c>
      <c r="G87" s="2">
        <v>0</v>
      </c>
      <c r="H87" s="2">
        <v>3.7900000000000003E-2</v>
      </c>
      <c r="I87" s="2">
        <v>6.93E-2</v>
      </c>
      <c r="J87" s="2">
        <v>0</v>
      </c>
      <c r="K87" s="2">
        <v>2.3294000000000001</v>
      </c>
      <c r="L87" s="2">
        <v>4.2670000000000003</v>
      </c>
      <c r="M87" s="20" t="str">
        <f t="shared" si="4"/>
        <v>0.00</v>
      </c>
      <c r="N87" s="21">
        <f t="shared" si="5"/>
        <v>-3.7900000000000003E-2</v>
      </c>
      <c r="O87" s="21">
        <f t="shared" si="6"/>
        <v>-1.9376000000000002</v>
      </c>
      <c r="P87" s="21">
        <f t="shared" si="7"/>
        <v>-2.3294000000000001</v>
      </c>
    </row>
    <row r="88" spans="1:16" ht="15" customHeight="1" x14ac:dyDescent="0.3">
      <c r="A88" s="7" t="s">
        <v>601</v>
      </c>
      <c r="B88" s="7" t="s">
        <v>514</v>
      </c>
      <c r="C88" s="3" t="s">
        <v>733</v>
      </c>
      <c r="D88" s="8" t="s">
        <v>1</v>
      </c>
      <c r="E88" s="8" t="s">
        <v>5</v>
      </c>
      <c r="F88" s="6">
        <v>25</v>
      </c>
      <c r="G88" s="2">
        <v>0</v>
      </c>
      <c r="H88" s="2">
        <v>8.6E-3</v>
      </c>
      <c r="I88" s="2">
        <v>13.3878</v>
      </c>
      <c r="J88" s="2">
        <v>0</v>
      </c>
      <c r="K88" s="2">
        <v>0.19639999999999999</v>
      </c>
      <c r="L88" s="2">
        <v>341.02409999999998</v>
      </c>
      <c r="M88" s="20" t="str">
        <f t="shared" si="4"/>
        <v>0.00</v>
      </c>
      <c r="N88" s="21">
        <f t="shared" si="5"/>
        <v>-8.6E-3</v>
      </c>
      <c r="O88" s="21">
        <f t="shared" si="6"/>
        <v>-340.82769999999999</v>
      </c>
      <c r="P88" s="21">
        <f t="shared" si="7"/>
        <v>-0.19639999999999999</v>
      </c>
    </row>
    <row r="89" spans="1:16" ht="15" customHeight="1" x14ac:dyDescent="0.3">
      <c r="A89" s="7" t="s">
        <v>602</v>
      </c>
      <c r="B89" s="7" t="s">
        <v>514</v>
      </c>
      <c r="C89" s="3" t="s">
        <v>733</v>
      </c>
      <c r="D89" s="8" t="s">
        <v>1</v>
      </c>
      <c r="E89" s="8" t="s">
        <v>5</v>
      </c>
      <c r="F89" s="6">
        <v>25</v>
      </c>
      <c r="G89" s="2">
        <v>0</v>
      </c>
      <c r="H89" s="2">
        <v>4.8898999999999999</v>
      </c>
      <c r="I89" s="2">
        <v>10.664400000000001</v>
      </c>
      <c r="J89" s="2">
        <v>0</v>
      </c>
      <c r="K89" s="2">
        <v>145.9169</v>
      </c>
      <c r="L89" s="2">
        <v>284.60649999999998</v>
      </c>
      <c r="M89" s="20" t="str">
        <f t="shared" si="4"/>
        <v>0.00</v>
      </c>
      <c r="N89" s="21">
        <f t="shared" si="5"/>
        <v>-4.8898999999999999</v>
      </c>
      <c r="O89" s="21">
        <f t="shared" si="6"/>
        <v>-138.68959999999998</v>
      </c>
      <c r="P89" s="21">
        <f t="shared" si="7"/>
        <v>-145.9169</v>
      </c>
    </row>
    <row r="90" spans="1:16" ht="15" customHeight="1" x14ac:dyDescent="0.3">
      <c r="A90" s="7" t="s">
        <v>603</v>
      </c>
      <c r="B90" s="7" t="s">
        <v>514</v>
      </c>
      <c r="C90" s="3" t="s">
        <v>733</v>
      </c>
      <c r="D90" s="8" t="s">
        <v>1</v>
      </c>
      <c r="E90" s="8" t="s">
        <v>5</v>
      </c>
      <c r="F90" s="6">
        <v>25</v>
      </c>
      <c r="G90" s="2">
        <v>0</v>
      </c>
      <c r="H90" s="2">
        <v>5.8544999999999998</v>
      </c>
      <c r="I90" s="2">
        <v>9.0564</v>
      </c>
      <c r="J90" s="2">
        <v>0</v>
      </c>
      <c r="K90" s="2">
        <v>166.38579999999999</v>
      </c>
      <c r="L90" s="2">
        <v>238.54349999999999</v>
      </c>
      <c r="M90" s="20" t="str">
        <f t="shared" si="4"/>
        <v>0.00</v>
      </c>
      <c r="N90" s="21">
        <f t="shared" si="5"/>
        <v>-5.8544999999999998</v>
      </c>
      <c r="O90" s="21">
        <f t="shared" si="6"/>
        <v>-72.157700000000006</v>
      </c>
      <c r="P90" s="21">
        <f t="shared" si="7"/>
        <v>-166.38579999999999</v>
      </c>
    </row>
    <row r="91" spans="1:16" ht="15" customHeight="1" x14ac:dyDescent="0.3">
      <c r="A91" s="7" t="s">
        <v>604</v>
      </c>
      <c r="B91" s="7" t="s">
        <v>514</v>
      </c>
      <c r="C91" s="3" t="s">
        <v>733</v>
      </c>
      <c r="D91" s="8" t="s">
        <v>1</v>
      </c>
      <c r="E91" s="8" t="s">
        <v>5</v>
      </c>
      <c r="F91" s="6">
        <v>66</v>
      </c>
      <c r="G91" s="2">
        <v>0</v>
      </c>
      <c r="H91" s="2">
        <v>0</v>
      </c>
      <c r="I91" s="2">
        <v>0.9879</v>
      </c>
      <c r="J91" s="2">
        <v>0</v>
      </c>
      <c r="K91" s="2">
        <v>0</v>
      </c>
      <c r="L91" s="2">
        <v>34.929000000000002</v>
      </c>
      <c r="M91" s="20" t="str">
        <f t="shared" si="4"/>
        <v>0.00</v>
      </c>
      <c r="N91" s="21">
        <f t="shared" si="5"/>
        <v>0</v>
      </c>
      <c r="O91" s="21">
        <f t="shared" si="6"/>
        <v>-34.929000000000002</v>
      </c>
      <c r="P91" s="21">
        <f t="shared" si="7"/>
        <v>0</v>
      </c>
    </row>
    <row r="92" spans="1:16" ht="15" customHeight="1" x14ac:dyDescent="0.3">
      <c r="A92" s="7" t="s">
        <v>605</v>
      </c>
      <c r="B92" s="7" t="s">
        <v>514</v>
      </c>
      <c r="C92" s="3" t="s">
        <v>733</v>
      </c>
      <c r="D92" s="8" t="s">
        <v>1</v>
      </c>
      <c r="E92" s="8" t="s">
        <v>5</v>
      </c>
      <c r="F92" s="6">
        <v>80</v>
      </c>
      <c r="G92" s="2">
        <v>15.267200000000001</v>
      </c>
      <c r="H92" s="2">
        <v>16.318300000000001</v>
      </c>
      <c r="I92" s="2">
        <v>16.784099999999999</v>
      </c>
      <c r="J92" s="2">
        <v>431.15870000000001</v>
      </c>
      <c r="K92" s="2">
        <v>473.67329999999998</v>
      </c>
      <c r="L92" s="2">
        <v>505.80540000000002</v>
      </c>
      <c r="M92" s="20" t="str">
        <f t="shared" si="4"/>
        <v>6.88</v>
      </c>
      <c r="N92" s="21">
        <f t="shared" si="5"/>
        <v>-1.0510999999999999</v>
      </c>
      <c r="O92" s="21">
        <f t="shared" si="6"/>
        <v>-32.132100000000037</v>
      </c>
      <c r="P92" s="21">
        <f t="shared" si="7"/>
        <v>-42.514599999999973</v>
      </c>
    </row>
    <row r="93" spans="1:16" ht="15" customHeight="1" x14ac:dyDescent="0.3">
      <c r="A93" s="7" t="s">
        <v>606</v>
      </c>
      <c r="B93" s="7" t="s">
        <v>514</v>
      </c>
      <c r="C93" s="3" t="s">
        <v>733</v>
      </c>
      <c r="D93" s="8" t="s">
        <v>1</v>
      </c>
      <c r="E93" s="8" t="s">
        <v>5</v>
      </c>
      <c r="F93" s="6">
        <v>80</v>
      </c>
      <c r="G93" s="2">
        <v>9.5295000000000005</v>
      </c>
      <c r="H93" s="2">
        <v>13.395300000000001</v>
      </c>
      <c r="I93" s="2">
        <v>18.126999999999999</v>
      </c>
      <c r="J93" s="2">
        <v>274.45499999999998</v>
      </c>
      <c r="K93" s="2">
        <v>396.72109999999998</v>
      </c>
      <c r="L93" s="2">
        <v>559.59109999999998</v>
      </c>
      <c r="M93" s="20" t="str">
        <f t="shared" si="4"/>
        <v>40.57</v>
      </c>
      <c r="N93" s="21">
        <f t="shared" si="5"/>
        <v>-3.8658000000000001</v>
      </c>
      <c r="O93" s="21">
        <f t="shared" si="6"/>
        <v>-162.87</v>
      </c>
      <c r="P93" s="21">
        <f t="shared" si="7"/>
        <v>-122.26609999999999</v>
      </c>
    </row>
    <row r="94" spans="1:16" ht="15" customHeight="1" x14ac:dyDescent="0.3">
      <c r="A94" s="7" t="s">
        <v>607</v>
      </c>
      <c r="B94" s="7" t="s">
        <v>514</v>
      </c>
      <c r="C94" s="3" t="s">
        <v>733</v>
      </c>
      <c r="D94" s="8" t="s">
        <v>1</v>
      </c>
      <c r="E94" s="8" t="s">
        <v>5</v>
      </c>
      <c r="F94" s="6">
        <v>80</v>
      </c>
      <c r="G94" s="2">
        <v>11.2293</v>
      </c>
      <c r="H94" s="2">
        <v>14.7631</v>
      </c>
      <c r="I94" s="2">
        <v>16.131900000000002</v>
      </c>
      <c r="J94" s="2">
        <v>318.93810000000002</v>
      </c>
      <c r="K94" s="2">
        <v>440.8152</v>
      </c>
      <c r="L94" s="2">
        <v>474.58569999999997</v>
      </c>
      <c r="M94" s="20" t="str">
        <f t="shared" si="4"/>
        <v>31.47</v>
      </c>
      <c r="N94" s="21">
        <f t="shared" si="5"/>
        <v>-3.5337999999999994</v>
      </c>
      <c r="O94" s="21">
        <f t="shared" si="6"/>
        <v>-33.77049999999997</v>
      </c>
      <c r="P94" s="21">
        <f t="shared" si="7"/>
        <v>-121.87709999999998</v>
      </c>
    </row>
    <row r="95" spans="1:16" ht="15" customHeight="1" x14ac:dyDescent="0.3">
      <c r="A95" s="7" t="s">
        <v>594</v>
      </c>
      <c r="B95" s="7" t="s">
        <v>515</v>
      </c>
      <c r="C95" s="3" t="s">
        <v>628</v>
      </c>
      <c r="D95" s="8" t="s">
        <v>1</v>
      </c>
      <c r="E95" s="8" t="s">
        <v>2</v>
      </c>
      <c r="F95" s="6">
        <v>60</v>
      </c>
      <c r="G95" s="2">
        <v>1.03E-2</v>
      </c>
      <c r="H95" s="2">
        <v>0</v>
      </c>
      <c r="I95" s="2">
        <v>0</v>
      </c>
      <c r="J95" s="2">
        <v>0.3876</v>
      </c>
      <c r="K95" s="2">
        <v>0</v>
      </c>
      <c r="L95" s="2">
        <v>0</v>
      </c>
      <c r="M95" s="20" t="str">
        <f t="shared" si="4"/>
        <v>0.00</v>
      </c>
      <c r="N95" s="21">
        <f t="shared" si="5"/>
        <v>1.03E-2</v>
      </c>
      <c r="O95" s="21">
        <f t="shared" si="6"/>
        <v>0</v>
      </c>
      <c r="P95" s="21">
        <f t="shared" si="7"/>
        <v>0.3876</v>
      </c>
    </row>
    <row r="96" spans="1:16" ht="15" customHeight="1" x14ac:dyDescent="0.3">
      <c r="A96" s="7" t="s">
        <v>92</v>
      </c>
      <c r="B96" s="7" t="s">
        <v>516</v>
      </c>
      <c r="C96" s="3" t="s">
        <v>629</v>
      </c>
      <c r="D96" s="8" t="s">
        <v>1</v>
      </c>
      <c r="E96" s="8" t="s">
        <v>2</v>
      </c>
      <c r="F96" s="6">
        <v>120</v>
      </c>
      <c r="G96" s="2">
        <v>0</v>
      </c>
      <c r="H96" s="2">
        <v>1.8077000000000001</v>
      </c>
      <c r="I96" s="2">
        <v>54.250700000000002</v>
      </c>
      <c r="J96" s="2">
        <v>0</v>
      </c>
      <c r="K96" s="2">
        <v>127.6024</v>
      </c>
      <c r="L96" s="2">
        <v>2956.24</v>
      </c>
      <c r="M96" s="20" t="str">
        <f t="shared" si="4"/>
        <v>0.00</v>
      </c>
      <c r="N96" s="21">
        <f t="shared" si="5"/>
        <v>-1.8077000000000001</v>
      </c>
      <c r="O96" s="21">
        <f t="shared" si="6"/>
        <v>-2828.6375999999996</v>
      </c>
      <c r="P96" s="21">
        <f t="shared" si="7"/>
        <v>-127.6024</v>
      </c>
    </row>
    <row r="97" spans="1:16" ht="15" customHeight="1" x14ac:dyDescent="0.3">
      <c r="A97" s="7" t="s">
        <v>94</v>
      </c>
      <c r="B97" s="7" t="s">
        <v>517</v>
      </c>
      <c r="C97" s="3" t="s">
        <v>93</v>
      </c>
      <c r="D97" s="8" t="s">
        <v>1</v>
      </c>
      <c r="E97" s="8" t="s">
        <v>2</v>
      </c>
      <c r="F97" s="6">
        <v>20</v>
      </c>
      <c r="G97" s="2">
        <v>0</v>
      </c>
      <c r="H97" s="2">
        <v>0.1202</v>
      </c>
      <c r="I97" s="2">
        <v>0</v>
      </c>
      <c r="J97" s="2">
        <v>0</v>
      </c>
      <c r="K97" s="2">
        <v>2.4085999999999999</v>
      </c>
      <c r="L97" s="2">
        <v>0</v>
      </c>
      <c r="M97" s="20" t="str">
        <f t="shared" si="4"/>
        <v>0.00</v>
      </c>
      <c r="N97" s="21">
        <f t="shared" si="5"/>
        <v>-0.1202</v>
      </c>
      <c r="O97" s="21">
        <f t="shared" si="6"/>
        <v>2.4085999999999999</v>
      </c>
      <c r="P97" s="21">
        <f t="shared" si="7"/>
        <v>-2.4085999999999999</v>
      </c>
    </row>
    <row r="98" spans="1:16" ht="15" customHeight="1" x14ac:dyDescent="0.3">
      <c r="A98" s="7" t="s">
        <v>95</v>
      </c>
      <c r="B98" s="7" t="s">
        <v>518</v>
      </c>
      <c r="C98" s="3" t="s">
        <v>630</v>
      </c>
      <c r="D98" s="8" t="s">
        <v>1</v>
      </c>
      <c r="E98" s="8" t="s">
        <v>5</v>
      </c>
      <c r="F98" s="6">
        <v>120</v>
      </c>
      <c r="G98" s="2">
        <v>28.356999999999999</v>
      </c>
      <c r="H98" s="2">
        <v>20.580200000000001</v>
      </c>
      <c r="I98" s="2">
        <v>0.78890000000000005</v>
      </c>
      <c r="J98" s="2">
        <v>1646.7402</v>
      </c>
      <c r="K98" s="2">
        <v>1088.8000999999999</v>
      </c>
      <c r="L98" s="2">
        <v>38.968699999999998</v>
      </c>
      <c r="M98" s="20" t="str">
        <f t="shared" si="4"/>
        <v>-27.42</v>
      </c>
      <c r="N98" s="21">
        <f t="shared" si="5"/>
        <v>7.7767999999999979</v>
      </c>
      <c r="O98" s="21">
        <f t="shared" si="6"/>
        <v>1049.8314</v>
      </c>
      <c r="P98" s="21">
        <f t="shared" si="7"/>
        <v>557.94010000000003</v>
      </c>
    </row>
    <row r="99" spans="1:16" ht="15" customHeight="1" x14ac:dyDescent="0.3">
      <c r="A99" s="7" t="s">
        <v>96</v>
      </c>
      <c r="B99" s="7" t="s">
        <v>518</v>
      </c>
      <c r="C99" s="3" t="s">
        <v>630</v>
      </c>
      <c r="D99" s="8" t="s">
        <v>1</v>
      </c>
      <c r="E99" s="8" t="s">
        <v>12</v>
      </c>
      <c r="F99" s="6">
        <v>120</v>
      </c>
      <c r="G99" s="2">
        <v>12.003299999999999</v>
      </c>
      <c r="H99" s="2">
        <v>12.0252</v>
      </c>
      <c r="I99" s="2">
        <v>1.8045</v>
      </c>
      <c r="J99" s="2">
        <v>643.41989999999998</v>
      </c>
      <c r="K99" s="2">
        <v>689.18370000000004</v>
      </c>
      <c r="L99" s="2">
        <v>98.837400000000002</v>
      </c>
      <c r="M99" s="20" t="str">
        <f t="shared" si="4"/>
        <v>0.18</v>
      </c>
      <c r="N99" s="21">
        <f t="shared" si="5"/>
        <v>-2.1900000000000475E-2</v>
      </c>
      <c r="O99" s="21">
        <f t="shared" si="6"/>
        <v>590.34630000000004</v>
      </c>
      <c r="P99" s="21">
        <f t="shared" si="7"/>
        <v>-45.76380000000006</v>
      </c>
    </row>
    <row r="100" spans="1:16" ht="15" customHeight="1" x14ac:dyDescent="0.3">
      <c r="A100" s="7" t="s">
        <v>97</v>
      </c>
      <c r="B100" s="7" t="s">
        <v>518</v>
      </c>
      <c r="C100" s="3" t="s">
        <v>630</v>
      </c>
      <c r="D100" s="8" t="s">
        <v>1</v>
      </c>
      <c r="E100" s="8" t="s">
        <v>12</v>
      </c>
      <c r="F100" s="6">
        <v>120</v>
      </c>
      <c r="G100" s="2">
        <v>0.11600000000000001</v>
      </c>
      <c r="H100" s="2">
        <v>0</v>
      </c>
      <c r="I100" s="2">
        <v>0</v>
      </c>
      <c r="J100" s="2">
        <v>6.96</v>
      </c>
      <c r="K100" s="2">
        <v>0</v>
      </c>
      <c r="L100" s="2">
        <v>0</v>
      </c>
      <c r="M100" s="20" t="str">
        <f t="shared" si="4"/>
        <v>0.00</v>
      </c>
      <c r="N100" s="21">
        <f t="shared" si="5"/>
        <v>0.11600000000000001</v>
      </c>
      <c r="O100" s="21">
        <f t="shared" si="6"/>
        <v>0</v>
      </c>
      <c r="P100" s="21">
        <f t="shared" si="7"/>
        <v>6.96</v>
      </c>
    </row>
    <row r="101" spans="1:16" ht="15" customHeight="1" x14ac:dyDescent="0.3">
      <c r="A101" s="7" t="s">
        <v>98</v>
      </c>
      <c r="B101" s="7" t="s">
        <v>518</v>
      </c>
      <c r="C101" s="3" t="s">
        <v>630</v>
      </c>
      <c r="D101" s="8" t="s">
        <v>1</v>
      </c>
      <c r="E101" s="8" t="s">
        <v>5</v>
      </c>
      <c r="F101" s="6">
        <v>60</v>
      </c>
      <c r="G101" s="2">
        <v>4.6429999999999998</v>
      </c>
      <c r="H101" s="2">
        <v>2.3708</v>
      </c>
      <c r="I101" s="2">
        <v>3.8805999999999998</v>
      </c>
      <c r="J101" s="2">
        <v>208.76240000000001</v>
      </c>
      <c r="K101" s="2">
        <v>99.124899999999997</v>
      </c>
      <c r="L101" s="2">
        <v>163.75460000000001</v>
      </c>
      <c r="M101" s="20" t="str">
        <f t="shared" si="4"/>
        <v>-48.94</v>
      </c>
      <c r="N101" s="21">
        <f t="shared" si="5"/>
        <v>2.2721999999999998</v>
      </c>
      <c r="O101" s="21">
        <f t="shared" si="6"/>
        <v>-64.629700000000014</v>
      </c>
      <c r="P101" s="21">
        <f t="shared" si="7"/>
        <v>109.63750000000002</v>
      </c>
    </row>
    <row r="102" spans="1:16" ht="15" customHeight="1" x14ac:dyDescent="0.3">
      <c r="A102" s="7" t="s">
        <v>99</v>
      </c>
      <c r="B102" s="7" t="s">
        <v>518</v>
      </c>
      <c r="C102" s="3" t="s">
        <v>630</v>
      </c>
      <c r="D102" s="8" t="s">
        <v>1</v>
      </c>
      <c r="E102" s="8" t="s">
        <v>12</v>
      </c>
      <c r="F102" s="6">
        <v>72</v>
      </c>
      <c r="G102" s="2">
        <v>8.5853000000000002</v>
      </c>
      <c r="H102" s="2">
        <v>4.2140000000000004</v>
      </c>
      <c r="I102" s="2">
        <v>0.26250000000000001</v>
      </c>
      <c r="J102" s="2">
        <v>402.53930000000003</v>
      </c>
      <c r="K102" s="2">
        <v>207.43709999999999</v>
      </c>
      <c r="L102" s="2">
        <v>13.0296</v>
      </c>
      <c r="M102" s="20" t="str">
        <f t="shared" si="4"/>
        <v>-50.92</v>
      </c>
      <c r="N102" s="21">
        <f t="shared" si="5"/>
        <v>4.3712999999999997</v>
      </c>
      <c r="O102" s="21">
        <f t="shared" si="6"/>
        <v>194.4075</v>
      </c>
      <c r="P102" s="21">
        <f t="shared" si="7"/>
        <v>195.10220000000004</v>
      </c>
    </row>
    <row r="103" spans="1:16" ht="15" customHeight="1" x14ac:dyDescent="0.3">
      <c r="A103" s="7" t="s">
        <v>100</v>
      </c>
      <c r="B103" s="7" t="s">
        <v>518</v>
      </c>
      <c r="C103" s="3" t="s">
        <v>630</v>
      </c>
      <c r="D103" s="8" t="s">
        <v>1</v>
      </c>
      <c r="E103" s="8" t="s">
        <v>5</v>
      </c>
      <c r="F103" s="6">
        <v>72</v>
      </c>
      <c r="G103" s="2">
        <v>0.83140000000000003</v>
      </c>
      <c r="H103" s="2">
        <v>1.5299999999999999E-2</v>
      </c>
      <c r="I103" s="2">
        <v>0</v>
      </c>
      <c r="J103" s="2">
        <v>39.196399999999997</v>
      </c>
      <c r="K103" s="2">
        <v>0.64800000000000002</v>
      </c>
      <c r="L103" s="2">
        <v>0</v>
      </c>
      <c r="M103" s="20" t="str">
        <f t="shared" si="4"/>
        <v>-98.16</v>
      </c>
      <c r="N103" s="21">
        <f t="shared" si="5"/>
        <v>0.81610000000000005</v>
      </c>
      <c r="O103" s="21">
        <f t="shared" si="6"/>
        <v>0.64800000000000002</v>
      </c>
      <c r="P103" s="21">
        <f t="shared" si="7"/>
        <v>38.548399999999994</v>
      </c>
    </row>
    <row r="104" spans="1:16" ht="15" customHeight="1" x14ac:dyDescent="0.3">
      <c r="A104" s="7" t="s">
        <v>101</v>
      </c>
      <c r="B104" s="7" t="s">
        <v>518</v>
      </c>
      <c r="C104" s="3" t="s">
        <v>630</v>
      </c>
      <c r="D104" s="8" t="s">
        <v>1</v>
      </c>
      <c r="E104" s="8" t="s">
        <v>5</v>
      </c>
      <c r="F104" s="6">
        <v>90</v>
      </c>
      <c r="G104" s="2">
        <v>2.9493999999999998</v>
      </c>
      <c r="H104" s="2">
        <v>0.27079999999999999</v>
      </c>
      <c r="I104" s="2">
        <v>0</v>
      </c>
      <c r="J104" s="2">
        <v>169.64840000000001</v>
      </c>
      <c r="K104" s="2">
        <v>12.904400000000001</v>
      </c>
      <c r="L104" s="2">
        <v>0</v>
      </c>
      <c r="M104" s="20" t="str">
        <f t="shared" si="4"/>
        <v>-90.82</v>
      </c>
      <c r="N104" s="21">
        <f t="shared" si="5"/>
        <v>2.6785999999999999</v>
      </c>
      <c r="O104" s="21">
        <f t="shared" si="6"/>
        <v>12.904400000000001</v>
      </c>
      <c r="P104" s="21">
        <f t="shared" si="7"/>
        <v>156.744</v>
      </c>
    </row>
    <row r="105" spans="1:16" ht="15" customHeight="1" x14ac:dyDescent="0.3">
      <c r="A105" s="7" t="s">
        <v>102</v>
      </c>
      <c r="B105" s="7" t="s">
        <v>518</v>
      </c>
      <c r="C105" s="3" t="s">
        <v>631</v>
      </c>
      <c r="D105" s="8" t="s">
        <v>1</v>
      </c>
      <c r="E105" s="8" t="s">
        <v>45</v>
      </c>
      <c r="F105" s="6">
        <v>100</v>
      </c>
      <c r="G105" s="2">
        <v>4.0140000000000002</v>
      </c>
      <c r="H105" s="2">
        <v>0</v>
      </c>
      <c r="I105" s="2">
        <v>0</v>
      </c>
      <c r="J105" s="2">
        <v>230.286</v>
      </c>
      <c r="K105" s="2">
        <v>0</v>
      </c>
      <c r="L105" s="2">
        <v>0</v>
      </c>
      <c r="M105" s="20" t="str">
        <f t="shared" si="4"/>
        <v>0.00</v>
      </c>
      <c r="N105" s="21">
        <f t="shared" si="5"/>
        <v>4.0140000000000002</v>
      </c>
      <c r="O105" s="21">
        <f t="shared" si="6"/>
        <v>0</v>
      </c>
      <c r="P105" s="21">
        <f t="shared" si="7"/>
        <v>230.286</v>
      </c>
    </row>
    <row r="106" spans="1:16" ht="15" customHeight="1" x14ac:dyDescent="0.3">
      <c r="A106" s="7" t="s">
        <v>103</v>
      </c>
      <c r="B106" s="7" t="s">
        <v>518</v>
      </c>
      <c r="C106" s="3" t="s">
        <v>631</v>
      </c>
      <c r="D106" s="8" t="s">
        <v>1</v>
      </c>
      <c r="E106" s="8" t="s">
        <v>2</v>
      </c>
      <c r="F106" s="6">
        <v>63</v>
      </c>
      <c r="G106" s="2">
        <v>4.0500000000000001E-2</v>
      </c>
      <c r="H106" s="2">
        <v>0</v>
      </c>
      <c r="I106" s="2">
        <v>0</v>
      </c>
      <c r="J106" s="2">
        <v>2.8330000000000002</v>
      </c>
      <c r="K106" s="2">
        <v>0</v>
      </c>
      <c r="L106" s="2">
        <v>0</v>
      </c>
      <c r="M106" s="20" t="str">
        <f t="shared" si="4"/>
        <v>0.00</v>
      </c>
      <c r="N106" s="21">
        <f t="shared" si="5"/>
        <v>4.0500000000000001E-2</v>
      </c>
      <c r="O106" s="21">
        <f t="shared" si="6"/>
        <v>0</v>
      </c>
      <c r="P106" s="21">
        <f t="shared" si="7"/>
        <v>2.8330000000000002</v>
      </c>
    </row>
    <row r="107" spans="1:16" ht="15" customHeight="1" x14ac:dyDescent="0.3">
      <c r="A107" s="7" t="s">
        <v>104</v>
      </c>
      <c r="B107" s="7" t="s">
        <v>518</v>
      </c>
      <c r="C107" s="3" t="s">
        <v>632</v>
      </c>
      <c r="D107" s="8" t="s">
        <v>1</v>
      </c>
      <c r="E107" s="8" t="s">
        <v>12</v>
      </c>
      <c r="F107" s="6">
        <v>120</v>
      </c>
      <c r="G107" s="2">
        <v>0.76770000000000005</v>
      </c>
      <c r="H107" s="2">
        <v>0</v>
      </c>
      <c r="I107" s="2">
        <v>0</v>
      </c>
      <c r="J107" s="2">
        <v>46.441400000000002</v>
      </c>
      <c r="K107" s="2">
        <v>0</v>
      </c>
      <c r="L107" s="2">
        <v>0</v>
      </c>
      <c r="M107" s="20" t="str">
        <f t="shared" si="4"/>
        <v>0.00</v>
      </c>
      <c r="N107" s="21">
        <f t="shared" si="5"/>
        <v>0.76770000000000005</v>
      </c>
      <c r="O107" s="21">
        <f t="shared" si="6"/>
        <v>0</v>
      </c>
      <c r="P107" s="21">
        <f t="shared" si="7"/>
        <v>46.441400000000002</v>
      </c>
    </row>
    <row r="108" spans="1:16" ht="15" customHeight="1" x14ac:dyDescent="0.3">
      <c r="A108" s="7" t="s">
        <v>105</v>
      </c>
      <c r="B108" s="7" t="s">
        <v>518</v>
      </c>
      <c r="C108" s="3" t="s">
        <v>632</v>
      </c>
      <c r="D108" s="8" t="s">
        <v>1</v>
      </c>
      <c r="E108" s="8" t="s">
        <v>5</v>
      </c>
      <c r="F108" s="6">
        <v>90</v>
      </c>
      <c r="G108" s="2">
        <v>0.86809999999999998</v>
      </c>
      <c r="H108" s="2">
        <v>0</v>
      </c>
      <c r="I108" s="2">
        <v>0</v>
      </c>
      <c r="J108" s="2">
        <v>43.337600000000002</v>
      </c>
      <c r="K108" s="2">
        <v>0</v>
      </c>
      <c r="L108" s="2">
        <v>0</v>
      </c>
      <c r="M108" s="20" t="str">
        <f t="shared" si="4"/>
        <v>0.00</v>
      </c>
      <c r="N108" s="21">
        <f t="shared" si="5"/>
        <v>0.86809999999999998</v>
      </c>
      <c r="O108" s="21">
        <f t="shared" si="6"/>
        <v>0</v>
      </c>
      <c r="P108" s="21">
        <f t="shared" si="7"/>
        <v>43.337600000000002</v>
      </c>
    </row>
    <row r="109" spans="1:16" ht="15" customHeight="1" x14ac:dyDescent="0.3">
      <c r="A109" s="7" t="s">
        <v>106</v>
      </c>
      <c r="B109" s="7" t="s">
        <v>518</v>
      </c>
      <c r="C109" s="3" t="s">
        <v>734</v>
      </c>
      <c r="D109" s="8" t="s">
        <v>1</v>
      </c>
      <c r="E109" s="8" t="s">
        <v>5</v>
      </c>
      <c r="F109" s="6">
        <v>15</v>
      </c>
      <c r="G109" s="2">
        <v>9.5548999999999999</v>
      </c>
      <c r="H109" s="2">
        <v>16.797000000000001</v>
      </c>
      <c r="I109" s="2">
        <v>14.8012</v>
      </c>
      <c r="J109" s="2">
        <v>338.9522</v>
      </c>
      <c r="K109" s="2">
        <v>643.8528</v>
      </c>
      <c r="L109" s="2">
        <v>454.05590000000001</v>
      </c>
      <c r="M109" s="20" t="str">
        <f t="shared" si="4"/>
        <v>75.79</v>
      </c>
      <c r="N109" s="21">
        <f t="shared" si="5"/>
        <v>-7.2421000000000006</v>
      </c>
      <c r="O109" s="21">
        <f t="shared" si="6"/>
        <v>189.79689999999999</v>
      </c>
      <c r="P109" s="21">
        <f t="shared" si="7"/>
        <v>-304.9006</v>
      </c>
    </row>
    <row r="110" spans="1:16" ht="15" customHeight="1" x14ac:dyDescent="0.3">
      <c r="A110" s="7" t="s">
        <v>107</v>
      </c>
      <c r="B110" s="7" t="s">
        <v>518</v>
      </c>
      <c r="C110" s="3" t="s">
        <v>633</v>
      </c>
      <c r="D110" s="8" t="s">
        <v>1</v>
      </c>
      <c r="E110" s="8" t="s">
        <v>5</v>
      </c>
      <c r="F110" s="6">
        <v>120</v>
      </c>
      <c r="G110" s="2">
        <v>21.0763</v>
      </c>
      <c r="H110" s="2">
        <v>7.9172000000000002</v>
      </c>
      <c r="I110" s="2">
        <v>0.35720000000000002</v>
      </c>
      <c r="J110" s="2">
        <v>1178.5386000000001</v>
      </c>
      <c r="K110" s="2">
        <v>421.82799999999997</v>
      </c>
      <c r="L110" s="2">
        <v>19.481100000000001</v>
      </c>
      <c r="M110" s="20" t="str">
        <f t="shared" si="4"/>
        <v>-62.44</v>
      </c>
      <c r="N110" s="21">
        <f t="shared" si="5"/>
        <v>13.159099999999999</v>
      </c>
      <c r="O110" s="21">
        <f t="shared" si="6"/>
        <v>402.34689999999995</v>
      </c>
      <c r="P110" s="21">
        <f t="shared" si="7"/>
        <v>756.71060000000011</v>
      </c>
    </row>
    <row r="111" spans="1:16" ht="15" customHeight="1" x14ac:dyDescent="0.3">
      <c r="A111" s="7" t="s">
        <v>108</v>
      </c>
      <c r="B111" s="7" t="s">
        <v>518</v>
      </c>
      <c r="C111" s="3" t="s">
        <v>633</v>
      </c>
      <c r="D111" s="8" t="s">
        <v>1</v>
      </c>
      <c r="E111" s="8" t="s">
        <v>12</v>
      </c>
      <c r="F111" s="6">
        <v>120</v>
      </c>
      <c r="G111" s="2">
        <v>59.8855</v>
      </c>
      <c r="H111" s="2">
        <v>18.673500000000001</v>
      </c>
      <c r="I111" s="2">
        <v>4.4382000000000001</v>
      </c>
      <c r="J111" s="2">
        <v>3588.4739</v>
      </c>
      <c r="K111" s="2">
        <v>1054.2443000000001</v>
      </c>
      <c r="L111" s="2">
        <v>241.28020000000001</v>
      </c>
      <c r="M111" s="20" t="str">
        <f t="shared" si="4"/>
        <v>-68.82</v>
      </c>
      <c r="N111" s="21">
        <f t="shared" si="5"/>
        <v>41.212000000000003</v>
      </c>
      <c r="O111" s="21">
        <f t="shared" si="6"/>
        <v>812.96410000000003</v>
      </c>
      <c r="P111" s="21">
        <f t="shared" si="7"/>
        <v>2534.2295999999997</v>
      </c>
    </row>
    <row r="112" spans="1:16" ht="15" customHeight="1" x14ac:dyDescent="0.3">
      <c r="A112" s="7" t="s">
        <v>109</v>
      </c>
      <c r="B112" s="7" t="s">
        <v>518</v>
      </c>
      <c r="C112" s="3" t="s">
        <v>634</v>
      </c>
      <c r="D112" s="8" t="s">
        <v>1</v>
      </c>
      <c r="E112" s="8" t="s">
        <v>5</v>
      </c>
      <c r="F112" s="6">
        <v>120</v>
      </c>
      <c r="G112" s="2">
        <v>37.596899999999998</v>
      </c>
      <c r="H112" s="2">
        <v>28.031099999999999</v>
      </c>
      <c r="I112" s="2">
        <v>1.2394000000000001</v>
      </c>
      <c r="J112" s="2">
        <v>2231.0284000000001</v>
      </c>
      <c r="K112" s="2">
        <v>1606.1090999999999</v>
      </c>
      <c r="L112" s="2">
        <v>64.665899999999993</v>
      </c>
      <c r="M112" s="20" t="str">
        <f t="shared" si="4"/>
        <v>-25.44</v>
      </c>
      <c r="N112" s="21">
        <f t="shared" si="5"/>
        <v>9.5657999999999994</v>
      </c>
      <c r="O112" s="21">
        <f t="shared" si="6"/>
        <v>1541.4431999999999</v>
      </c>
      <c r="P112" s="21">
        <f t="shared" si="7"/>
        <v>624.91930000000025</v>
      </c>
    </row>
    <row r="113" spans="1:16" ht="15" customHeight="1" x14ac:dyDescent="0.3">
      <c r="A113" s="7" t="s">
        <v>110</v>
      </c>
      <c r="B113" s="7" t="s">
        <v>518</v>
      </c>
      <c r="C113" s="3" t="s">
        <v>635</v>
      </c>
      <c r="D113" s="8" t="s">
        <v>1</v>
      </c>
      <c r="E113" s="8" t="s">
        <v>5</v>
      </c>
      <c r="F113" s="6">
        <v>72</v>
      </c>
      <c r="G113" s="2">
        <v>4.1798000000000002</v>
      </c>
      <c r="H113" s="2">
        <v>0</v>
      </c>
      <c r="I113" s="2">
        <v>0</v>
      </c>
      <c r="J113" s="2">
        <v>212.80930000000001</v>
      </c>
      <c r="K113" s="2">
        <v>0</v>
      </c>
      <c r="L113" s="2">
        <v>0</v>
      </c>
      <c r="M113" s="20" t="str">
        <f t="shared" si="4"/>
        <v>0.00</v>
      </c>
      <c r="N113" s="21">
        <f t="shared" si="5"/>
        <v>4.1798000000000002</v>
      </c>
      <c r="O113" s="21">
        <f t="shared" si="6"/>
        <v>0</v>
      </c>
      <c r="P113" s="21">
        <f t="shared" si="7"/>
        <v>212.80930000000001</v>
      </c>
    </row>
    <row r="114" spans="1:16" ht="15" customHeight="1" x14ac:dyDescent="0.3">
      <c r="A114" s="7" t="s">
        <v>111</v>
      </c>
      <c r="B114" s="7" t="s">
        <v>518</v>
      </c>
      <c r="C114" s="3" t="s">
        <v>635</v>
      </c>
      <c r="D114" s="8" t="s">
        <v>1</v>
      </c>
      <c r="E114" s="8" t="s">
        <v>5</v>
      </c>
      <c r="F114" s="6">
        <v>72</v>
      </c>
      <c r="G114" s="2">
        <v>16.9573</v>
      </c>
      <c r="H114" s="2">
        <v>8.0383999999999993</v>
      </c>
      <c r="I114" s="2">
        <v>4.7045000000000003</v>
      </c>
      <c r="J114" s="2">
        <v>973.13670000000002</v>
      </c>
      <c r="K114" s="2">
        <v>460.75880000000001</v>
      </c>
      <c r="L114" s="2">
        <v>246.6643</v>
      </c>
      <c r="M114" s="20" t="str">
        <f t="shared" si="4"/>
        <v>-52.60</v>
      </c>
      <c r="N114" s="21">
        <f t="shared" si="5"/>
        <v>8.9189000000000007</v>
      </c>
      <c r="O114" s="21">
        <f t="shared" si="6"/>
        <v>214.09450000000001</v>
      </c>
      <c r="P114" s="21">
        <f t="shared" si="7"/>
        <v>512.37789999999995</v>
      </c>
    </row>
    <row r="115" spans="1:16" ht="15" customHeight="1" x14ac:dyDescent="0.3">
      <c r="A115" s="7" t="s">
        <v>112</v>
      </c>
      <c r="B115" s="7" t="s">
        <v>519</v>
      </c>
      <c r="C115" s="3" t="s">
        <v>636</v>
      </c>
      <c r="D115" s="8" t="s">
        <v>1</v>
      </c>
      <c r="E115" s="8" t="s">
        <v>12</v>
      </c>
      <c r="F115" s="6">
        <v>120</v>
      </c>
      <c r="G115" s="2">
        <v>8.9794</v>
      </c>
      <c r="H115" s="2">
        <v>0</v>
      </c>
      <c r="I115" s="2">
        <v>0</v>
      </c>
      <c r="J115" s="2">
        <v>618.46879999999999</v>
      </c>
      <c r="K115" s="2">
        <v>0</v>
      </c>
      <c r="L115" s="2">
        <v>0</v>
      </c>
      <c r="M115" s="20" t="str">
        <f t="shared" si="4"/>
        <v>0.00</v>
      </c>
      <c r="N115" s="21">
        <f t="shared" si="5"/>
        <v>8.9794</v>
      </c>
      <c r="O115" s="21">
        <f t="shared" si="6"/>
        <v>0</v>
      </c>
      <c r="P115" s="21">
        <f t="shared" si="7"/>
        <v>618.46879999999999</v>
      </c>
    </row>
    <row r="116" spans="1:16" ht="15" customHeight="1" x14ac:dyDescent="0.3">
      <c r="A116" s="7" t="s">
        <v>113</v>
      </c>
      <c r="B116" s="7" t="s">
        <v>520</v>
      </c>
      <c r="C116" s="3" t="s">
        <v>735</v>
      </c>
      <c r="D116" s="8" t="s">
        <v>1</v>
      </c>
      <c r="E116" s="8" t="s">
        <v>5</v>
      </c>
      <c r="F116" s="6">
        <v>120</v>
      </c>
      <c r="G116" s="2">
        <v>0</v>
      </c>
      <c r="H116" s="2">
        <v>9.4999999999999998E-3</v>
      </c>
      <c r="I116" s="2">
        <v>0</v>
      </c>
      <c r="J116" s="2">
        <v>0</v>
      </c>
      <c r="K116" s="2">
        <v>0.51649999999999996</v>
      </c>
      <c r="L116" s="2">
        <v>0</v>
      </c>
      <c r="M116" s="20" t="str">
        <f t="shared" si="4"/>
        <v>0.00</v>
      </c>
      <c r="N116" s="21">
        <f t="shared" si="5"/>
        <v>-9.4999999999999998E-3</v>
      </c>
      <c r="O116" s="21">
        <f t="shared" si="6"/>
        <v>0.51649999999999996</v>
      </c>
      <c r="P116" s="21">
        <f t="shared" si="7"/>
        <v>-0.51649999999999996</v>
      </c>
    </row>
    <row r="117" spans="1:16" ht="15" customHeight="1" x14ac:dyDescent="0.3">
      <c r="A117" s="7" t="s">
        <v>114</v>
      </c>
      <c r="B117" s="7" t="s">
        <v>520</v>
      </c>
      <c r="C117" s="3" t="s">
        <v>736</v>
      </c>
      <c r="D117" s="8" t="s">
        <v>1</v>
      </c>
      <c r="E117" s="8" t="s">
        <v>41</v>
      </c>
      <c r="F117" s="6">
        <v>110</v>
      </c>
      <c r="G117" s="2">
        <v>0.34189999999999998</v>
      </c>
      <c r="H117" s="2">
        <v>0</v>
      </c>
      <c r="I117" s="2">
        <v>0</v>
      </c>
      <c r="J117" s="2">
        <v>17.095199999999998</v>
      </c>
      <c r="K117" s="2">
        <v>0</v>
      </c>
      <c r="L117" s="2">
        <v>0</v>
      </c>
      <c r="M117" s="20" t="str">
        <f t="shared" si="4"/>
        <v>0.00</v>
      </c>
      <c r="N117" s="21">
        <f t="shared" si="5"/>
        <v>0.34189999999999998</v>
      </c>
      <c r="O117" s="21">
        <f t="shared" si="6"/>
        <v>0</v>
      </c>
      <c r="P117" s="21">
        <f t="shared" si="7"/>
        <v>17.095199999999998</v>
      </c>
    </row>
    <row r="118" spans="1:16" ht="15" customHeight="1" x14ac:dyDescent="0.3">
      <c r="A118" s="7" t="s">
        <v>115</v>
      </c>
      <c r="B118" s="7" t="s">
        <v>520</v>
      </c>
      <c r="C118" s="3" t="s">
        <v>736</v>
      </c>
      <c r="D118" s="8" t="s">
        <v>1</v>
      </c>
      <c r="E118" s="8" t="s">
        <v>12</v>
      </c>
      <c r="F118" s="6">
        <v>120</v>
      </c>
      <c r="G118" s="2">
        <v>0</v>
      </c>
      <c r="H118" s="2">
        <v>36.513300000000001</v>
      </c>
      <c r="I118" s="2">
        <v>9.9184000000000001</v>
      </c>
      <c r="J118" s="2">
        <v>0</v>
      </c>
      <c r="K118" s="2">
        <v>2225.7903999999999</v>
      </c>
      <c r="L118" s="2">
        <v>665.84569999999997</v>
      </c>
      <c r="M118" s="20" t="str">
        <f t="shared" si="4"/>
        <v>0.00</v>
      </c>
      <c r="N118" s="21">
        <f t="shared" si="5"/>
        <v>-36.513300000000001</v>
      </c>
      <c r="O118" s="21">
        <f t="shared" si="6"/>
        <v>1559.9447</v>
      </c>
      <c r="P118" s="21">
        <f t="shared" si="7"/>
        <v>-2225.7903999999999</v>
      </c>
    </row>
    <row r="119" spans="1:16" ht="15" customHeight="1" x14ac:dyDescent="0.3">
      <c r="A119" s="7" t="s">
        <v>116</v>
      </c>
      <c r="B119" s="7" t="s">
        <v>520</v>
      </c>
      <c r="C119" s="3" t="s">
        <v>736</v>
      </c>
      <c r="D119" s="8" t="s">
        <v>1</v>
      </c>
      <c r="E119" s="8" t="s">
        <v>12</v>
      </c>
      <c r="F119" s="6">
        <v>120</v>
      </c>
      <c r="G119" s="2">
        <v>0</v>
      </c>
      <c r="H119" s="2">
        <v>28.314</v>
      </c>
      <c r="I119" s="2">
        <v>9.1574000000000009</v>
      </c>
      <c r="J119" s="2">
        <v>0</v>
      </c>
      <c r="K119" s="2">
        <v>1712.6693</v>
      </c>
      <c r="L119" s="2">
        <v>592.38390000000004</v>
      </c>
      <c r="M119" s="20" t="str">
        <f t="shared" si="4"/>
        <v>0.00</v>
      </c>
      <c r="N119" s="21">
        <f t="shared" si="5"/>
        <v>-28.314</v>
      </c>
      <c r="O119" s="21">
        <f t="shared" si="6"/>
        <v>1120.2854</v>
      </c>
      <c r="P119" s="21">
        <f t="shared" si="7"/>
        <v>-1712.6693</v>
      </c>
    </row>
    <row r="120" spans="1:16" ht="15" customHeight="1" x14ac:dyDescent="0.3">
      <c r="A120" s="7" t="s">
        <v>117</v>
      </c>
      <c r="B120" s="7" t="s">
        <v>520</v>
      </c>
      <c r="C120" s="3" t="s">
        <v>736</v>
      </c>
      <c r="D120" s="8" t="s">
        <v>1</v>
      </c>
      <c r="E120" s="8" t="s">
        <v>12</v>
      </c>
      <c r="F120" s="6">
        <v>120</v>
      </c>
      <c r="G120" s="2">
        <v>0</v>
      </c>
      <c r="H120" s="2">
        <v>24.999500000000001</v>
      </c>
      <c r="I120" s="2">
        <v>5.0659999999999998</v>
      </c>
      <c r="J120" s="2">
        <v>0</v>
      </c>
      <c r="K120" s="2">
        <v>1534.4268</v>
      </c>
      <c r="L120" s="2">
        <v>349.95659999999998</v>
      </c>
      <c r="M120" s="20" t="str">
        <f t="shared" si="4"/>
        <v>0.00</v>
      </c>
      <c r="N120" s="21">
        <f t="shared" si="5"/>
        <v>-24.999500000000001</v>
      </c>
      <c r="O120" s="21">
        <f t="shared" si="6"/>
        <v>1184.4702</v>
      </c>
      <c r="P120" s="21">
        <f t="shared" si="7"/>
        <v>-1534.4268</v>
      </c>
    </row>
    <row r="121" spans="1:16" ht="15" customHeight="1" x14ac:dyDescent="0.3">
      <c r="A121" s="7" t="s">
        <v>118</v>
      </c>
      <c r="B121" s="7" t="s">
        <v>520</v>
      </c>
      <c r="C121" s="3" t="s">
        <v>736</v>
      </c>
      <c r="D121" s="8" t="s">
        <v>1</v>
      </c>
      <c r="E121" s="8" t="s">
        <v>5</v>
      </c>
      <c r="F121" s="6">
        <v>120</v>
      </c>
      <c r="G121" s="2">
        <v>25.1</v>
      </c>
      <c r="H121" s="2">
        <v>61.22</v>
      </c>
      <c r="I121" s="2">
        <v>8.9021000000000008</v>
      </c>
      <c r="J121" s="2">
        <v>1136.2986000000001</v>
      </c>
      <c r="K121" s="2">
        <v>3402.5661</v>
      </c>
      <c r="L121" s="2">
        <v>613.3809</v>
      </c>
      <c r="M121" s="20" t="str">
        <f t="shared" si="4"/>
        <v>143.90</v>
      </c>
      <c r="N121" s="21">
        <f t="shared" si="5"/>
        <v>-36.119999999999997</v>
      </c>
      <c r="O121" s="21">
        <f t="shared" si="6"/>
        <v>2789.1851999999999</v>
      </c>
      <c r="P121" s="21">
        <f t="shared" si="7"/>
        <v>-2266.2674999999999</v>
      </c>
    </row>
    <row r="122" spans="1:16" ht="15" customHeight="1" x14ac:dyDescent="0.3">
      <c r="A122" s="7" t="s">
        <v>119</v>
      </c>
      <c r="B122" s="7" t="s">
        <v>520</v>
      </c>
      <c r="C122" s="3" t="s">
        <v>736</v>
      </c>
      <c r="D122" s="8" t="s">
        <v>1</v>
      </c>
      <c r="E122" s="8" t="s">
        <v>12</v>
      </c>
      <c r="F122" s="6">
        <v>120</v>
      </c>
      <c r="G122" s="2">
        <v>0</v>
      </c>
      <c r="H122" s="2">
        <v>18.822399999999998</v>
      </c>
      <c r="I122" s="2">
        <v>7.1738</v>
      </c>
      <c r="J122" s="2">
        <v>0</v>
      </c>
      <c r="K122" s="2">
        <v>1176.8929000000001</v>
      </c>
      <c r="L122" s="2">
        <v>487.85019999999997</v>
      </c>
      <c r="M122" s="20" t="str">
        <f t="shared" si="4"/>
        <v>0.00</v>
      </c>
      <c r="N122" s="21">
        <f t="shared" si="5"/>
        <v>-18.822399999999998</v>
      </c>
      <c r="O122" s="21">
        <f t="shared" si="6"/>
        <v>689.04270000000008</v>
      </c>
      <c r="P122" s="21">
        <f t="shared" si="7"/>
        <v>-1176.8929000000001</v>
      </c>
    </row>
    <row r="123" spans="1:16" ht="15" customHeight="1" x14ac:dyDescent="0.3">
      <c r="A123" s="7" t="s">
        <v>120</v>
      </c>
      <c r="B123" s="7" t="s">
        <v>520</v>
      </c>
      <c r="C123" s="3" t="s">
        <v>736</v>
      </c>
      <c r="D123" s="8" t="s">
        <v>1</v>
      </c>
      <c r="E123" s="8" t="s">
        <v>5</v>
      </c>
      <c r="F123" s="6">
        <v>15</v>
      </c>
      <c r="G123" s="2">
        <v>1.24</v>
      </c>
      <c r="H123" s="2">
        <v>2.9891000000000001</v>
      </c>
      <c r="I123" s="2">
        <v>0.81240000000000001</v>
      </c>
      <c r="J123" s="2">
        <v>69.486800000000002</v>
      </c>
      <c r="K123" s="2">
        <v>154.24979999999999</v>
      </c>
      <c r="L123" s="2">
        <v>41.637500000000003</v>
      </c>
      <c r="M123" s="20" t="str">
        <f t="shared" si="4"/>
        <v>141.06</v>
      </c>
      <c r="N123" s="21">
        <f t="shared" si="5"/>
        <v>-1.7491000000000001</v>
      </c>
      <c r="O123" s="21">
        <f t="shared" si="6"/>
        <v>112.61229999999999</v>
      </c>
      <c r="P123" s="21">
        <f t="shared" si="7"/>
        <v>-84.762999999999991</v>
      </c>
    </row>
    <row r="124" spans="1:16" ht="15" customHeight="1" x14ac:dyDescent="0.3">
      <c r="A124" s="7" t="s">
        <v>121</v>
      </c>
      <c r="B124" s="7" t="s">
        <v>520</v>
      </c>
      <c r="C124" s="3" t="s">
        <v>736</v>
      </c>
      <c r="D124" s="8" t="s">
        <v>1</v>
      </c>
      <c r="E124" s="8" t="s">
        <v>5</v>
      </c>
      <c r="F124" s="6">
        <v>70</v>
      </c>
      <c r="G124" s="2">
        <v>1.1599999999999999</v>
      </c>
      <c r="H124" s="2">
        <v>1.8923000000000001</v>
      </c>
      <c r="I124" s="2">
        <v>0</v>
      </c>
      <c r="J124" s="2">
        <v>44.862200000000001</v>
      </c>
      <c r="K124" s="2">
        <v>87.694800000000001</v>
      </c>
      <c r="L124" s="2">
        <v>0</v>
      </c>
      <c r="M124" s="20" t="str">
        <f t="shared" si="4"/>
        <v>63.13</v>
      </c>
      <c r="N124" s="21">
        <f t="shared" si="5"/>
        <v>-0.73230000000000017</v>
      </c>
      <c r="O124" s="21">
        <f t="shared" si="6"/>
        <v>87.694800000000001</v>
      </c>
      <c r="P124" s="21">
        <f t="shared" si="7"/>
        <v>-42.832599999999999</v>
      </c>
    </row>
    <row r="125" spans="1:16" ht="15" customHeight="1" x14ac:dyDescent="0.3">
      <c r="A125" s="7" t="s">
        <v>595</v>
      </c>
      <c r="B125" s="7" t="s">
        <v>520</v>
      </c>
      <c r="C125" s="3" t="s">
        <v>736</v>
      </c>
      <c r="D125" s="8" t="s">
        <v>1</v>
      </c>
      <c r="E125" s="8" t="s">
        <v>2</v>
      </c>
      <c r="F125" s="6">
        <v>90</v>
      </c>
      <c r="G125" s="2">
        <v>0</v>
      </c>
      <c r="H125" s="2">
        <v>14.477</v>
      </c>
      <c r="I125" s="2">
        <v>3.1046999999999998</v>
      </c>
      <c r="J125" s="2">
        <v>0</v>
      </c>
      <c r="K125" s="2">
        <v>762.29949999999997</v>
      </c>
      <c r="L125" s="2">
        <v>149.91970000000001</v>
      </c>
      <c r="M125" s="20" t="str">
        <f t="shared" si="4"/>
        <v>0.00</v>
      </c>
      <c r="N125" s="21">
        <f t="shared" si="5"/>
        <v>-14.477</v>
      </c>
      <c r="O125" s="21">
        <f t="shared" si="6"/>
        <v>612.37979999999993</v>
      </c>
      <c r="P125" s="21">
        <f t="shared" si="7"/>
        <v>-762.29949999999997</v>
      </c>
    </row>
    <row r="126" spans="1:16" ht="15" customHeight="1" x14ac:dyDescent="0.3">
      <c r="A126" s="7" t="s">
        <v>122</v>
      </c>
      <c r="B126" s="7" t="s">
        <v>520</v>
      </c>
      <c r="C126" s="3" t="s">
        <v>637</v>
      </c>
      <c r="D126" s="8" t="s">
        <v>1</v>
      </c>
      <c r="E126" s="8" t="s">
        <v>12</v>
      </c>
      <c r="F126" s="6">
        <v>120</v>
      </c>
      <c r="G126" s="2">
        <v>0.25940000000000002</v>
      </c>
      <c r="H126" s="2">
        <v>47.287300000000002</v>
      </c>
      <c r="I126" s="2">
        <v>13.3363</v>
      </c>
      <c r="J126" s="2">
        <v>15.5664</v>
      </c>
      <c r="K126" s="2">
        <v>2338.1842000000001</v>
      </c>
      <c r="L126" s="2">
        <v>671.9117</v>
      </c>
      <c r="M126" s="20" t="str">
        <f t="shared" si="4"/>
        <v>18129.49</v>
      </c>
      <c r="N126" s="21">
        <f t="shared" si="5"/>
        <v>-47.027900000000002</v>
      </c>
      <c r="O126" s="21">
        <f t="shared" si="6"/>
        <v>1666.2725</v>
      </c>
      <c r="P126" s="21">
        <f t="shared" si="7"/>
        <v>-2322.6178</v>
      </c>
    </row>
    <row r="127" spans="1:16" ht="15" customHeight="1" x14ac:dyDescent="0.3">
      <c r="A127" s="7" t="s">
        <v>123</v>
      </c>
      <c r="B127" s="7" t="s">
        <v>520</v>
      </c>
      <c r="C127" s="3" t="s">
        <v>637</v>
      </c>
      <c r="D127" s="8" t="s">
        <v>1</v>
      </c>
      <c r="E127" s="8" t="s">
        <v>12</v>
      </c>
      <c r="F127" s="6">
        <v>15</v>
      </c>
      <c r="G127" s="2">
        <v>0</v>
      </c>
      <c r="H127" s="2">
        <v>5.6702000000000004</v>
      </c>
      <c r="I127" s="2">
        <v>10.135199999999999</v>
      </c>
      <c r="J127" s="2">
        <v>0</v>
      </c>
      <c r="K127" s="2">
        <v>206.95869999999999</v>
      </c>
      <c r="L127" s="2">
        <v>365.12360000000001</v>
      </c>
      <c r="M127" s="20" t="str">
        <f t="shared" si="4"/>
        <v>0.00</v>
      </c>
      <c r="N127" s="21">
        <f t="shared" si="5"/>
        <v>-5.6702000000000004</v>
      </c>
      <c r="O127" s="21">
        <f t="shared" si="6"/>
        <v>-158.16490000000002</v>
      </c>
      <c r="P127" s="21">
        <f t="shared" si="7"/>
        <v>-206.95869999999999</v>
      </c>
    </row>
    <row r="128" spans="1:16" ht="15" customHeight="1" x14ac:dyDescent="0.3">
      <c r="A128" s="7" t="s">
        <v>124</v>
      </c>
      <c r="B128" s="7" t="s">
        <v>521</v>
      </c>
      <c r="C128" s="3" t="s">
        <v>638</v>
      </c>
      <c r="D128" s="8" t="s">
        <v>1</v>
      </c>
      <c r="E128" s="8" t="s">
        <v>41</v>
      </c>
      <c r="F128" s="6">
        <v>120</v>
      </c>
      <c r="G128" s="2">
        <v>0</v>
      </c>
      <c r="H128" s="2">
        <v>82.250100000000003</v>
      </c>
      <c r="I128" s="2">
        <v>55.842500000000001</v>
      </c>
      <c r="J128" s="2">
        <v>0</v>
      </c>
      <c r="K128" s="2">
        <v>5284.8972000000003</v>
      </c>
      <c r="L128" s="2">
        <v>3137.2123999999999</v>
      </c>
      <c r="M128" s="20" t="str">
        <f t="shared" si="4"/>
        <v>0.00</v>
      </c>
      <c r="N128" s="21">
        <f t="shared" si="5"/>
        <v>-82.250100000000003</v>
      </c>
      <c r="O128" s="21">
        <f t="shared" si="6"/>
        <v>2147.6848000000005</v>
      </c>
      <c r="P128" s="21">
        <f t="shared" si="7"/>
        <v>-5284.8972000000003</v>
      </c>
    </row>
    <row r="129" spans="1:16" ht="15" customHeight="1" x14ac:dyDescent="0.3">
      <c r="A129" s="7" t="s">
        <v>125</v>
      </c>
      <c r="B129" s="7" t="s">
        <v>521</v>
      </c>
      <c r="C129" s="3" t="s">
        <v>638</v>
      </c>
      <c r="D129" s="8" t="s">
        <v>1</v>
      </c>
      <c r="E129" s="8" t="s">
        <v>41</v>
      </c>
      <c r="F129" s="6">
        <v>120</v>
      </c>
      <c r="G129" s="2">
        <v>0</v>
      </c>
      <c r="H129" s="2">
        <v>88.414900000000003</v>
      </c>
      <c r="I129" s="2">
        <v>45.6905</v>
      </c>
      <c r="J129" s="2">
        <v>0</v>
      </c>
      <c r="K129" s="2">
        <v>5662.4585999999999</v>
      </c>
      <c r="L129" s="2">
        <v>2576.6464000000001</v>
      </c>
      <c r="M129" s="20" t="str">
        <f t="shared" si="4"/>
        <v>0.00</v>
      </c>
      <c r="N129" s="21">
        <f t="shared" si="5"/>
        <v>-88.414900000000003</v>
      </c>
      <c r="O129" s="21">
        <f t="shared" si="6"/>
        <v>3085.8121999999998</v>
      </c>
      <c r="P129" s="21">
        <f t="shared" si="7"/>
        <v>-5662.4585999999999</v>
      </c>
    </row>
    <row r="130" spans="1:16" ht="15" customHeight="1" x14ac:dyDescent="0.3">
      <c r="A130" s="7" t="s">
        <v>126</v>
      </c>
      <c r="B130" s="7" t="s">
        <v>522</v>
      </c>
      <c r="C130" s="3" t="s">
        <v>639</v>
      </c>
      <c r="D130" s="8" t="s">
        <v>1</v>
      </c>
      <c r="E130" s="8" t="s">
        <v>5</v>
      </c>
      <c r="F130" s="6">
        <v>72</v>
      </c>
      <c r="G130" s="2">
        <v>0.24010000000000001</v>
      </c>
      <c r="H130" s="2">
        <v>0</v>
      </c>
      <c r="I130" s="2">
        <v>0</v>
      </c>
      <c r="J130" s="2">
        <v>10.8056</v>
      </c>
      <c r="K130" s="2">
        <v>0</v>
      </c>
      <c r="L130" s="2">
        <v>0</v>
      </c>
      <c r="M130" s="20" t="str">
        <f t="shared" si="4"/>
        <v>0.00</v>
      </c>
      <c r="N130" s="21">
        <f t="shared" si="5"/>
        <v>0.24010000000000001</v>
      </c>
      <c r="O130" s="21">
        <f t="shared" si="6"/>
        <v>0</v>
      </c>
      <c r="P130" s="21">
        <f t="shared" si="7"/>
        <v>10.8056</v>
      </c>
    </row>
    <row r="131" spans="1:16" ht="15" customHeight="1" x14ac:dyDescent="0.3">
      <c r="A131" s="7" t="s">
        <v>127</v>
      </c>
      <c r="B131" s="7" t="s">
        <v>523</v>
      </c>
      <c r="C131" s="3" t="s">
        <v>640</v>
      </c>
      <c r="D131" s="8" t="s">
        <v>1</v>
      </c>
      <c r="E131" s="8" t="s">
        <v>12</v>
      </c>
      <c r="F131" s="6">
        <v>20</v>
      </c>
      <c r="G131" s="2">
        <v>8.8999999999999999E-3</v>
      </c>
      <c r="H131" s="2">
        <v>1.9E-3</v>
      </c>
      <c r="I131" s="2">
        <v>0</v>
      </c>
      <c r="J131" s="2">
        <v>0.1</v>
      </c>
      <c r="K131" s="2">
        <v>0.02</v>
      </c>
      <c r="L131" s="2">
        <v>0</v>
      </c>
      <c r="M131" s="20" t="str">
        <f t="shared" ref="M131:M194" si="8">IF(OR(G131=0, H131=0), "0.00", TEXT((H131-G131)/G131*100, "0.00"))</f>
        <v>-78.65</v>
      </c>
      <c r="N131" s="21">
        <f t="shared" ref="N131:N194" si="9">G131-H131</f>
        <v>7.0000000000000001E-3</v>
      </c>
      <c r="O131" s="21">
        <f t="shared" ref="O131:O194" si="10">K131-L131</f>
        <v>0.02</v>
      </c>
      <c r="P131" s="21">
        <f t="shared" ref="P131:P194" si="11">J131-K131</f>
        <v>0.08</v>
      </c>
    </row>
    <row r="132" spans="1:16" ht="15" customHeight="1" x14ac:dyDescent="0.3">
      <c r="A132" s="7" t="s">
        <v>128</v>
      </c>
      <c r="B132" s="7" t="s">
        <v>523</v>
      </c>
      <c r="C132" s="3" t="s">
        <v>640</v>
      </c>
      <c r="D132" s="8" t="s">
        <v>1</v>
      </c>
      <c r="E132" s="8" t="s">
        <v>12</v>
      </c>
      <c r="F132" s="6">
        <v>20</v>
      </c>
      <c r="G132" s="2">
        <v>3.6436000000000002</v>
      </c>
      <c r="H132" s="2">
        <v>0.20610000000000001</v>
      </c>
      <c r="I132" s="2">
        <v>0.1404</v>
      </c>
      <c r="J132" s="2">
        <v>40.526699999999998</v>
      </c>
      <c r="K132" s="2">
        <v>2.1286999999999998</v>
      </c>
      <c r="L132" s="2">
        <v>1.4401999999999999</v>
      </c>
      <c r="M132" s="20" t="str">
        <f t="shared" si="8"/>
        <v>-94.34</v>
      </c>
      <c r="N132" s="21">
        <f t="shared" si="9"/>
        <v>3.4375</v>
      </c>
      <c r="O132" s="21">
        <f t="shared" si="10"/>
        <v>0.68849999999999989</v>
      </c>
      <c r="P132" s="21">
        <f t="shared" si="11"/>
        <v>38.397999999999996</v>
      </c>
    </row>
    <row r="133" spans="1:16" ht="15" customHeight="1" x14ac:dyDescent="0.3">
      <c r="A133" s="7" t="s">
        <v>129</v>
      </c>
      <c r="B133" s="7" t="s">
        <v>523</v>
      </c>
      <c r="C133" s="3" t="s">
        <v>640</v>
      </c>
      <c r="D133" s="8" t="s">
        <v>1</v>
      </c>
      <c r="E133" s="8" t="s">
        <v>12</v>
      </c>
      <c r="F133" s="6">
        <v>64</v>
      </c>
      <c r="G133" s="2">
        <v>4.9200000000000001E-2</v>
      </c>
      <c r="H133" s="2">
        <v>1.14E-2</v>
      </c>
      <c r="I133" s="2">
        <v>0</v>
      </c>
      <c r="J133" s="2">
        <v>3.4851000000000001</v>
      </c>
      <c r="K133" s="2">
        <v>0.25600000000000001</v>
      </c>
      <c r="L133" s="2">
        <v>0</v>
      </c>
      <c r="M133" s="20" t="str">
        <f t="shared" si="8"/>
        <v>-76.83</v>
      </c>
      <c r="N133" s="21">
        <f t="shared" si="9"/>
        <v>3.78E-2</v>
      </c>
      <c r="O133" s="21">
        <f t="shared" si="10"/>
        <v>0.25600000000000001</v>
      </c>
      <c r="P133" s="21">
        <f t="shared" si="11"/>
        <v>3.2290999999999999</v>
      </c>
    </row>
    <row r="134" spans="1:16" ht="15" customHeight="1" x14ac:dyDescent="0.3">
      <c r="A134" s="7" t="s">
        <v>130</v>
      </c>
      <c r="B134" s="7" t="s">
        <v>523</v>
      </c>
      <c r="C134" s="3" t="s">
        <v>640</v>
      </c>
      <c r="D134" s="8" t="s">
        <v>1</v>
      </c>
      <c r="E134" s="8" t="s">
        <v>12</v>
      </c>
      <c r="F134" s="6">
        <v>64</v>
      </c>
      <c r="G134" s="2">
        <v>4.9882</v>
      </c>
      <c r="H134" s="2">
        <v>0.97860000000000003</v>
      </c>
      <c r="I134" s="2">
        <v>0</v>
      </c>
      <c r="J134" s="2">
        <v>116.9594</v>
      </c>
      <c r="K134" s="2">
        <v>26.678799999999999</v>
      </c>
      <c r="L134" s="2">
        <v>0</v>
      </c>
      <c r="M134" s="20" t="str">
        <f t="shared" si="8"/>
        <v>-80.38</v>
      </c>
      <c r="N134" s="21">
        <f t="shared" si="9"/>
        <v>4.0095999999999998</v>
      </c>
      <c r="O134" s="21">
        <f t="shared" si="10"/>
        <v>26.678799999999999</v>
      </c>
      <c r="P134" s="21">
        <f t="shared" si="11"/>
        <v>90.280600000000007</v>
      </c>
    </row>
    <row r="135" spans="1:16" ht="15" customHeight="1" x14ac:dyDescent="0.3">
      <c r="A135" s="7" t="s">
        <v>131</v>
      </c>
      <c r="B135" s="7" t="s">
        <v>524</v>
      </c>
      <c r="C135" s="3" t="s">
        <v>641</v>
      </c>
      <c r="D135" s="8" t="s">
        <v>1</v>
      </c>
      <c r="E135" s="8" t="s">
        <v>12</v>
      </c>
      <c r="F135" s="6">
        <v>50</v>
      </c>
      <c r="G135" s="2">
        <v>0</v>
      </c>
      <c r="H135" s="2">
        <v>0</v>
      </c>
      <c r="I135" s="2">
        <v>0.16420000000000001</v>
      </c>
      <c r="J135" s="2">
        <v>0</v>
      </c>
      <c r="K135" s="2">
        <v>0</v>
      </c>
      <c r="L135" s="2">
        <v>5.0327000000000002</v>
      </c>
      <c r="M135" s="20" t="str">
        <f t="shared" si="8"/>
        <v>0.00</v>
      </c>
      <c r="N135" s="21">
        <f t="shared" si="9"/>
        <v>0</v>
      </c>
      <c r="O135" s="21">
        <f t="shared" si="10"/>
        <v>-5.0327000000000002</v>
      </c>
      <c r="P135" s="21">
        <f t="shared" si="11"/>
        <v>0</v>
      </c>
    </row>
    <row r="136" spans="1:16" ht="15" customHeight="1" x14ac:dyDescent="0.3">
      <c r="A136" s="7" t="s">
        <v>132</v>
      </c>
      <c r="B136" s="7" t="s">
        <v>524</v>
      </c>
      <c r="C136" s="3" t="s">
        <v>641</v>
      </c>
      <c r="D136" s="8" t="s">
        <v>1</v>
      </c>
      <c r="E136" s="8" t="s">
        <v>12</v>
      </c>
      <c r="F136" s="6">
        <v>56</v>
      </c>
      <c r="G136" s="2">
        <v>2.3513000000000002</v>
      </c>
      <c r="H136" s="2">
        <v>13.7189</v>
      </c>
      <c r="I136" s="2">
        <v>5.1338999999999997</v>
      </c>
      <c r="J136" s="2">
        <v>93.938999999999993</v>
      </c>
      <c r="K136" s="2">
        <v>476.75330000000002</v>
      </c>
      <c r="L136" s="2">
        <v>161.36660000000001</v>
      </c>
      <c r="M136" s="20" t="str">
        <f t="shared" si="8"/>
        <v>483.46</v>
      </c>
      <c r="N136" s="21">
        <f t="shared" si="9"/>
        <v>-11.367599999999999</v>
      </c>
      <c r="O136" s="21">
        <f t="shared" si="10"/>
        <v>315.38670000000002</v>
      </c>
      <c r="P136" s="21">
        <f t="shared" si="11"/>
        <v>-382.8143</v>
      </c>
    </row>
    <row r="137" spans="1:16" ht="15" customHeight="1" x14ac:dyDescent="0.3">
      <c r="A137" s="7" t="s">
        <v>133</v>
      </c>
      <c r="B137" s="7" t="s">
        <v>524</v>
      </c>
      <c r="C137" s="3" t="s">
        <v>641</v>
      </c>
      <c r="D137" s="8" t="s">
        <v>1</v>
      </c>
      <c r="E137" s="8" t="s">
        <v>12</v>
      </c>
      <c r="F137" s="6">
        <v>60</v>
      </c>
      <c r="G137" s="2">
        <v>7.0484</v>
      </c>
      <c r="H137" s="2">
        <v>24.545400000000001</v>
      </c>
      <c r="I137" s="2">
        <v>7.2644000000000002</v>
      </c>
      <c r="J137" s="2">
        <v>315.70249999999999</v>
      </c>
      <c r="K137" s="2">
        <v>945.68759999999997</v>
      </c>
      <c r="L137" s="2">
        <v>273.77960000000002</v>
      </c>
      <c r="M137" s="20" t="str">
        <f t="shared" si="8"/>
        <v>248.24</v>
      </c>
      <c r="N137" s="21">
        <f t="shared" si="9"/>
        <v>-17.497</v>
      </c>
      <c r="O137" s="21">
        <f t="shared" si="10"/>
        <v>671.9079999999999</v>
      </c>
      <c r="P137" s="21">
        <f t="shared" si="11"/>
        <v>-629.98509999999999</v>
      </c>
    </row>
    <row r="138" spans="1:16" ht="15" customHeight="1" x14ac:dyDescent="0.3">
      <c r="A138" s="7" t="s">
        <v>134</v>
      </c>
      <c r="B138" s="7" t="s">
        <v>524</v>
      </c>
      <c r="C138" s="3" t="s">
        <v>641</v>
      </c>
      <c r="D138" s="8" t="s">
        <v>1</v>
      </c>
      <c r="E138" s="8" t="s">
        <v>12</v>
      </c>
      <c r="F138" s="6">
        <v>60</v>
      </c>
      <c r="G138" s="2">
        <v>6.2529000000000003</v>
      </c>
      <c r="H138" s="2">
        <v>0</v>
      </c>
      <c r="I138" s="2">
        <v>0</v>
      </c>
      <c r="J138" s="2">
        <v>300.22300000000001</v>
      </c>
      <c r="K138" s="2">
        <v>0</v>
      </c>
      <c r="L138" s="2">
        <v>0</v>
      </c>
      <c r="M138" s="20" t="str">
        <f t="shared" si="8"/>
        <v>0.00</v>
      </c>
      <c r="N138" s="21">
        <f t="shared" si="9"/>
        <v>6.2529000000000003</v>
      </c>
      <c r="O138" s="21">
        <f t="shared" si="10"/>
        <v>0</v>
      </c>
      <c r="P138" s="21">
        <f t="shared" si="11"/>
        <v>300.22300000000001</v>
      </c>
    </row>
    <row r="139" spans="1:16" ht="15" customHeight="1" x14ac:dyDescent="0.3">
      <c r="A139" s="7" t="s">
        <v>135</v>
      </c>
      <c r="B139" s="7" t="s">
        <v>525</v>
      </c>
      <c r="C139" s="3" t="s">
        <v>642</v>
      </c>
      <c r="D139" s="8" t="s">
        <v>1</v>
      </c>
      <c r="E139" s="8" t="s">
        <v>5</v>
      </c>
      <c r="F139" s="6">
        <v>72</v>
      </c>
      <c r="G139" s="2">
        <v>1.6668000000000001</v>
      </c>
      <c r="H139" s="2">
        <v>3.7600000000000001E-2</v>
      </c>
      <c r="I139" s="2">
        <v>0</v>
      </c>
      <c r="J139" s="2">
        <v>75.837299999999999</v>
      </c>
      <c r="K139" s="2">
        <v>1.6555</v>
      </c>
      <c r="L139" s="2">
        <v>0</v>
      </c>
      <c r="M139" s="20" t="str">
        <f t="shared" si="8"/>
        <v>-97.74</v>
      </c>
      <c r="N139" s="21">
        <f t="shared" si="9"/>
        <v>1.6292</v>
      </c>
      <c r="O139" s="21">
        <f t="shared" si="10"/>
        <v>1.6555</v>
      </c>
      <c r="P139" s="21">
        <f t="shared" si="11"/>
        <v>74.181799999999996</v>
      </c>
    </row>
    <row r="140" spans="1:16" ht="15" customHeight="1" x14ac:dyDescent="0.3">
      <c r="A140" s="7" t="s">
        <v>136</v>
      </c>
      <c r="B140" s="7" t="s">
        <v>525</v>
      </c>
      <c r="C140" s="3" t="s">
        <v>642</v>
      </c>
      <c r="D140" s="8" t="s">
        <v>1</v>
      </c>
      <c r="E140" s="8" t="s">
        <v>5</v>
      </c>
      <c r="F140" s="6">
        <v>72</v>
      </c>
      <c r="G140" s="2">
        <v>7.5975000000000001</v>
      </c>
      <c r="H140" s="2">
        <v>0.1353</v>
      </c>
      <c r="I140" s="2">
        <v>3.0000000000000001E-3</v>
      </c>
      <c r="J140" s="2">
        <v>283.12259999999998</v>
      </c>
      <c r="K140" s="2">
        <v>3.3016999999999999</v>
      </c>
      <c r="L140" s="2">
        <v>7.1999999999999995E-2</v>
      </c>
      <c r="M140" s="20" t="str">
        <f t="shared" si="8"/>
        <v>-98.22</v>
      </c>
      <c r="N140" s="21">
        <f t="shared" si="9"/>
        <v>7.4622000000000002</v>
      </c>
      <c r="O140" s="21">
        <f t="shared" si="10"/>
        <v>3.2296999999999998</v>
      </c>
      <c r="P140" s="21">
        <f t="shared" si="11"/>
        <v>279.82089999999999</v>
      </c>
    </row>
    <row r="141" spans="1:16" ht="15" customHeight="1" x14ac:dyDescent="0.3">
      <c r="A141" s="7" t="s">
        <v>137</v>
      </c>
      <c r="B141" s="7" t="s">
        <v>526</v>
      </c>
      <c r="C141" s="3" t="s">
        <v>643</v>
      </c>
      <c r="D141" s="8" t="s">
        <v>1</v>
      </c>
      <c r="E141" s="8" t="s">
        <v>12</v>
      </c>
      <c r="F141" s="6">
        <v>72</v>
      </c>
      <c r="G141" s="2">
        <v>2.5741999999999998</v>
      </c>
      <c r="H141" s="2">
        <v>0.57930000000000004</v>
      </c>
      <c r="I141" s="2">
        <v>9.0300000000000005E-2</v>
      </c>
      <c r="J141" s="2">
        <v>138.52269999999999</v>
      </c>
      <c r="K141" s="2">
        <v>28.2058</v>
      </c>
      <c r="L141" s="2">
        <v>3.9451999999999998</v>
      </c>
      <c r="M141" s="20" t="str">
        <f t="shared" si="8"/>
        <v>-77.50</v>
      </c>
      <c r="N141" s="21">
        <f t="shared" si="9"/>
        <v>1.9948999999999999</v>
      </c>
      <c r="O141" s="21">
        <f t="shared" si="10"/>
        <v>24.2606</v>
      </c>
      <c r="P141" s="21">
        <f t="shared" si="11"/>
        <v>110.31689999999999</v>
      </c>
    </row>
    <row r="142" spans="1:16" ht="15" customHeight="1" x14ac:dyDescent="0.3">
      <c r="A142" s="7" t="s">
        <v>138</v>
      </c>
      <c r="B142" s="7" t="s">
        <v>526</v>
      </c>
      <c r="C142" s="3" t="s">
        <v>643</v>
      </c>
      <c r="D142" s="8" t="s">
        <v>1</v>
      </c>
      <c r="E142" s="8" t="s">
        <v>2</v>
      </c>
      <c r="F142" s="6">
        <v>72</v>
      </c>
      <c r="G142" s="2">
        <v>0</v>
      </c>
      <c r="H142" s="2">
        <v>3.2000000000000002E-3</v>
      </c>
      <c r="I142" s="2">
        <v>0</v>
      </c>
      <c r="J142" s="2">
        <v>0</v>
      </c>
      <c r="K142" s="2">
        <v>0.14879999999999999</v>
      </c>
      <c r="L142" s="2">
        <v>0</v>
      </c>
      <c r="M142" s="20" t="str">
        <f t="shared" si="8"/>
        <v>0.00</v>
      </c>
      <c r="N142" s="21">
        <f t="shared" si="9"/>
        <v>-3.2000000000000002E-3</v>
      </c>
      <c r="O142" s="21">
        <f t="shared" si="10"/>
        <v>0.14879999999999999</v>
      </c>
      <c r="P142" s="21">
        <f t="shared" si="11"/>
        <v>-0.14879999999999999</v>
      </c>
    </row>
    <row r="143" spans="1:16" ht="15" customHeight="1" x14ac:dyDescent="0.3">
      <c r="A143" s="7" t="s">
        <v>139</v>
      </c>
      <c r="B143" s="7" t="s">
        <v>526</v>
      </c>
      <c r="C143" s="3" t="s">
        <v>644</v>
      </c>
      <c r="D143" s="8" t="s">
        <v>1</v>
      </c>
      <c r="E143" s="8" t="s">
        <v>5</v>
      </c>
      <c r="F143" s="6">
        <v>120</v>
      </c>
      <c r="G143" s="2">
        <v>29.782299999999999</v>
      </c>
      <c r="H143" s="2">
        <v>8.0821000000000005</v>
      </c>
      <c r="I143" s="2">
        <v>2.2058</v>
      </c>
      <c r="J143" s="2">
        <v>1812.3146999999999</v>
      </c>
      <c r="K143" s="2">
        <v>442.9864</v>
      </c>
      <c r="L143" s="2">
        <v>129.73259999999999</v>
      </c>
      <c r="M143" s="20" t="str">
        <f t="shared" si="8"/>
        <v>-72.86</v>
      </c>
      <c r="N143" s="21">
        <f t="shared" si="9"/>
        <v>21.700199999999999</v>
      </c>
      <c r="O143" s="21">
        <f t="shared" si="10"/>
        <v>313.25380000000001</v>
      </c>
      <c r="P143" s="21">
        <f t="shared" si="11"/>
        <v>1369.3282999999999</v>
      </c>
    </row>
    <row r="144" spans="1:16" ht="15" customHeight="1" x14ac:dyDescent="0.3">
      <c r="A144" s="7" t="s">
        <v>140</v>
      </c>
      <c r="B144" s="7" t="s">
        <v>526</v>
      </c>
      <c r="C144" s="3" t="s">
        <v>644</v>
      </c>
      <c r="D144" s="8" t="s">
        <v>1</v>
      </c>
      <c r="E144" s="8" t="s">
        <v>2</v>
      </c>
      <c r="F144" s="6">
        <v>64</v>
      </c>
      <c r="G144" s="2">
        <v>0.4194</v>
      </c>
      <c r="H144" s="2">
        <v>0.27539999999999998</v>
      </c>
      <c r="I144" s="2">
        <v>7.5600000000000001E-2</v>
      </c>
      <c r="J144" s="2">
        <v>22.036999999999999</v>
      </c>
      <c r="K144" s="2">
        <v>13.908200000000001</v>
      </c>
      <c r="L144" s="2">
        <v>3.7229000000000001</v>
      </c>
      <c r="M144" s="20" t="str">
        <f t="shared" si="8"/>
        <v>-34.33</v>
      </c>
      <c r="N144" s="21">
        <f t="shared" si="9"/>
        <v>0.14400000000000002</v>
      </c>
      <c r="O144" s="21">
        <f t="shared" si="10"/>
        <v>10.185300000000002</v>
      </c>
      <c r="P144" s="21">
        <f t="shared" si="11"/>
        <v>8.1287999999999982</v>
      </c>
    </row>
    <row r="145" spans="1:16" ht="15" customHeight="1" x14ac:dyDescent="0.3">
      <c r="A145" s="7" t="s">
        <v>141</v>
      </c>
      <c r="B145" s="7" t="s">
        <v>526</v>
      </c>
      <c r="C145" s="3" t="s">
        <v>745</v>
      </c>
      <c r="D145" s="8" t="s">
        <v>1</v>
      </c>
      <c r="E145" s="8" t="s">
        <v>5</v>
      </c>
      <c r="F145" s="6">
        <v>120</v>
      </c>
      <c r="G145" s="2">
        <v>393.93759999999997</v>
      </c>
      <c r="H145" s="2">
        <v>316.5532</v>
      </c>
      <c r="I145" s="2">
        <v>120.4361</v>
      </c>
      <c r="J145" s="2">
        <v>20334.628400000001</v>
      </c>
      <c r="K145" s="2">
        <v>15456.115599999999</v>
      </c>
      <c r="L145" s="2">
        <v>5660.8364000000001</v>
      </c>
      <c r="M145" s="20" t="str">
        <f t="shared" si="8"/>
        <v>-19.64</v>
      </c>
      <c r="N145" s="21">
        <f t="shared" si="9"/>
        <v>77.384399999999971</v>
      </c>
      <c r="O145" s="21">
        <f t="shared" si="10"/>
        <v>9795.279199999999</v>
      </c>
      <c r="P145" s="21">
        <f t="shared" si="11"/>
        <v>4878.5128000000022</v>
      </c>
    </row>
    <row r="146" spans="1:16" ht="15" customHeight="1" x14ac:dyDescent="0.3">
      <c r="A146" s="7" t="s">
        <v>142</v>
      </c>
      <c r="B146" s="7" t="s">
        <v>526</v>
      </c>
      <c r="C146" s="3" t="s">
        <v>745</v>
      </c>
      <c r="D146" s="8" t="s">
        <v>1</v>
      </c>
      <c r="E146" s="8" t="s">
        <v>5</v>
      </c>
      <c r="F146" s="6">
        <v>72</v>
      </c>
      <c r="G146" s="2">
        <v>11.008699999999999</v>
      </c>
      <c r="H146" s="2">
        <v>0</v>
      </c>
      <c r="I146" s="2">
        <v>0</v>
      </c>
      <c r="J146" s="2">
        <v>653.37990000000002</v>
      </c>
      <c r="K146" s="2">
        <v>0</v>
      </c>
      <c r="L146" s="2">
        <v>0</v>
      </c>
      <c r="M146" s="20" t="str">
        <f t="shared" si="8"/>
        <v>0.00</v>
      </c>
      <c r="N146" s="21">
        <f t="shared" si="9"/>
        <v>11.008699999999999</v>
      </c>
      <c r="O146" s="21">
        <f t="shared" si="10"/>
        <v>0</v>
      </c>
      <c r="P146" s="21">
        <f t="shared" si="11"/>
        <v>653.37990000000002</v>
      </c>
    </row>
    <row r="147" spans="1:16" ht="15" customHeight="1" x14ac:dyDescent="0.3">
      <c r="A147" s="7" t="s">
        <v>143</v>
      </c>
      <c r="B147" s="7" t="s">
        <v>526</v>
      </c>
      <c r="C147" s="3" t="s">
        <v>745</v>
      </c>
      <c r="D147" s="8" t="s">
        <v>1</v>
      </c>
      <c r="E147" s="8" t="s">
        <v>5</v>
      </c>
      <c r="F147" s="6">
        <v>72</v>
      </c>
      <c r="G147" s="2">
        <v>6.3380999999999998</v>
      </c>
      <c r="H147" s="2">
        <v>2.2010000000000001</v>
      </c>
      <c r="I147" s="2">
        <v>4.9340999999999999</v>
      </c>
      <c r="J147" s="2">
        <v>360.70839999999998</v>
      </c>
      <c r="K147" s="2">
        <v>122.7465</v>
      </c>
      <c r="L147" s="2">
        <v>260.16239999999999</v>
      </c>
      <c r="M147" s="20" t="str">
        <f t="shared" si="8"/>
        <v>-65.27</v>
      </c>
      <c r="N147" s="21">
        <f t="shared" si="9"/>
        <v>4.1371000000000002</v>
      </c>
      <c r="O147" s="21">
        <f t="shared" si="10"/>
        <v>-137.41589999999999</v>
      </c>
      <c r="P147" s="21">
        <f t="shared" si="11"/>
        <v>237.96189999999999</v>
      </c>
    </row>
    <row r="148" spans="1:16" ht="15" customHeight="1" x14ac:dyDescent="0.3">
      <c r="A148" s="7" t="s">
        <v>144</v>
      </c>
      <c r="B148" s="7" t="s">
        <v>526</v>
      </c>
      <c r="C148" s="3" t="s">
        <v>745</v>
      </c>
      <c r="D148" s="8" t="s">
        <v>1</v>
      </c>
      <c r="E148" s="8" t="s">
        <v>5</v>
      </c>
      <c r="F148" s="6">
        <v>72</v>
      </c>
      <c r="G148" s="2">
        <v>17.2865</v>
      </c>
      <c r="H148" s="2">
        <v>3.1953</v>
      </c>
      <c r="I148" s="2">
        <v>0</v>
      </c>
      <c r="J148" s="2">
        <v>1104.6166000000001</v>
      </c>
      <c r="K148" s="2">
        <v>157.0744</v>
      </c>
      <c r="L148" s="2">
        <v>0</v>
      </c>
      <c r="M148" s="20" t="str">
        <f t="shared" si="8"/>
        <v>-81.52</v>
      </c>
      <c r="N148" s="21">
        <f t="shared" si="9"/>
        <v>14.091200000000001</v>
      </c>
      <c r="O148" s="21">
        <f t="shared" si="10"/>
        <v>157.0744</v>
      </c>
      <c r="P148" s="21">
        <f t="shared" si="11"/>
        <v>947.54220000000009</v>
      </c>
    </row>
    <row r="149" spans="1:16" ht="15" customHeight="1" x14ac:dyDescent="0.3">
      <c r="A149" s="7" t="s">
        <v>145</v>
      </c>
      <c r="B149" s="7" t="s">
        <v>526</v>
      </c>
      <c r="C149" s="3" t="s">
        <v>745</v>
      </c>
      <c r="D149" s="8" t="s">
        <v>1</v>
      </c>
      <c r="E149" s="8" t="s">
        <v>2</v>
      </c>
      <c r="F149" s="6">
        <v>72</v>
      </c>
      <c r="G149" s="2">
        <v>8.3360000000000003</v>
      </c>
      <c r="H149" s="2">
        <v>4.1882999999999999</v>
      </c>
      <c r="I149" s="2">
        <v>0.16869999999999999</v>
      </c>
      <c r="J149" s="2">
        <v>355.34039999999999</v>
      </c>
      <c r="K149" s="2">
        <v>181.6489</v>
      </c>
      <c r="L149" s="2">
        <v>7.0335999999999999</v>
      </c>
      <c r="M149" s="20" t="str">
        <f t="shared" si="8"/>
        <v>-49.76</v>
      </c>
      <c r="N149" s="21">
        <f t="shared" si="9"/>
        <v>4.1477000000000004</v>
      </c>
      <c r="O149" s="21">
        <f t="shared" si="10"/>
        <v>174.61529999999999</v>
      </c>
      <c r="P149" s="21">
        <f t="shared" si="11"/>
        <v>173.69149999999999</v>
      </c>
    </row>
    <row r="150" spans="1:16" ht="15" customHeight="1" x14ac:dyDescent="0.3">
      <c r="A150" s="7" t="s">
        <v>146</v>
      </c>
      <c r="B150" s="7" t="s">
        <v>526</v>
      </c>
      <c r="C150" s="3" t="s">
        <v>745</v>
      </c>
      <c r="D150" s="8" t="s">
        <v>1</v>
      </c>
      <c r="E150" s="8" t="s">
        <v>12</v>
      </c>
      <c r="F150" s="6">
        <v>72</v>
      </c>
      <c r="G150" s="2">
        <v>10.51</v>
      </c>
      <c r="H150" s="2">
        <v>23.858699999999999</v>
      </c>
      <c r="I150" s="2">
        <v>12.9741</v>
      </c>
      <c r="J150" s="2">
        <v>602.08569999999997</v>
      </c>
      <c r="K150" s="2">
        <v>1188.0914</v>
      </c>
      <c r="L150" s="2">
        <v>658.29200000000003</v>
      </c>
      <c r="M150" s="20" t="str">
        <f t="shared" si="8"/>
        <v>127.01</v>
      </c>
      <c r="N150" s="21">
        <f t="shared" si="9"/>
        <v>-13.348699999999999</v>
      </c>
      <c r="O150" s="21">
        <f t="shared" si="10"/>
        <v>529.79939999999999</v>
      </c>
      <c r="P150" s="21">
        <f t="shared" si="11"/>
        <v>-586.00570000000005</v>
      </c>
    </row>
    <row r="151" spans="1:16" ht="15" customHeight="1" x14ac:dyDescent="0.3">
      <c r="A151" s="7" t="s">
        <v>147</v>
      </c>
      <c r="B151" s="7" t="s">
        <v>526</v>
      </c>
      <c r="C151" s="3" t="s">
        <v>745</v>
      </c>
      <c r="D151" s="8" t="s">
        <v>1</v>
      </c>
      <c r="E151" s="8" t="s">
        <v>5</v>
      </c>
      <c r="F151" s="6">
        <v>72</v>
      </c>
      <c r="G151" s="2">
        <v>0.1246</v>
      </c>
      <c r="H151" s="2">
        <v>0</v>
      </c>
      <c r="I151" s="2">
        <v>4.1500000000000002E-2</v>
      </c>
      <c r="J151" s="2">
        <v>7.4763999999999999</v>
      </c>
      <c r="K151" s="2">
        <v>0</v>
      </c>
      <c r="L151" s="2">
        <v>3.0169000000000001</v>
      </c>
      <c r="M151" s="20" t="str">
        <f t="shared" si="8"/>
        <v>0.00</v>
      </c>
      <c r="N151" s="21">
        <f t="shared" si="9"/>
        <v>0.1246</v>
      </c>
      <c r="O151" s="21">
        <f t="shared" si="10"/>
        <v>-3.0169000000000001</v>
      </c>
      <c r="P151" s="21">
        <f t="shared" si="11"/>
        <v>7.4763999999999999</v>
      </c>
    </row>
    <row r="152" spans="1:16" ht="15" customHeight="1" x14ac:dyDescent="0.3">
      <c r="A152" s="7" t="s">
        <v>148</v>
      </c>
      <c r="B152" s="7" t="s">
        <v>526</v>
      </c>
      <c r="C152" s="3" t="s">
        <v>745</v>
      </c>
      <c r="D152" s="8" t="s">
        <v>1</v>
      </c>
      <c r="E152" s="8" t="s">
        <v>5</v>
      </c>
      <c r="F152" s="6">
        <v>90</v>
      </c>
      <c r="G152" s="2">
        <v>0</v>
      </c>
      <c r="H152" s="2">
        <v>1.9545999999999999</v>
      </c>
      <c r="I152" s="2">
        <v>2.1882000000000001</v>
      </c>
      <c r="J152" s="2">
        <v>0</v>
      </c>
      <c r="K152" s="2">
        <v>80.589100000000002</v>
      </c>
      <c r="L152" s="2">
        <v>78.875</v>
      </c>
      <c r="M152" s="20" t="str">
        <f t="shared" si="8"/>
        <v>0.00</v>
      </c>
      <c r="N152" s="21">
        <f t="shared" si="9"/>
        <v>-1.9545999999999999</v>
      </c>
      <c r="O152" s="21">
        <f t="shared" si="10"/>
        <v>1.714100000000002</v>
      </c>
      <c r="P152" s="21">
        <f t="shared" si="11"/>
        <v>-80.589100000000002</v>
      </c>
    </row>
    <row r="153" spans="1:16" ht="15" customHeight="1" x14ac:dyDescent="0.3">
      <c r="A153" s="7" t="s">
        <v>149</v>
      </c>
      <c r="B153" s="7" t="s">
        <v>526</v>
      </c>
      <c r="C153" s="3" t="s">
        <v>745</v>
      </c>
      <c r="D153" s="8" t="s">
        <v>1</v>
      </c>
      <c r="E153" s="8" t="s">
        <v>41</v>
      </c>
      <c r="F153" s="6">
        <v>90</v>
      </c>
      <c r="G153" s="2">
        <v>4.02E-2</v>
      </c>
      <c r="H153" s="2">
        <v>0</v>
      </c>
      <c r="I153" s="2">
        <v>5.1000000000000004E-3</v>
      </c>
      <c r="J153" s="2">
        <v>1.9040999999999999</v>
      </c>
      <c r="K153" s="2">
        <v>0</v>
      </c>
      <c r="L153" s="2">
        <v>0.1958</v>
      </c>
      <c r="M153" s="20" t="str">
        <f t="shared" si="8"/>
        <v>0.00</v>
      </c>
      <c r="N153" s="21">
        <f t="shared" si="9"/>
        <v>4.02E-2</v>
      </c>
      <c r="O153" s="21">
        <f t="shared" si="10"/>
        <v>-0.1958</v>
      </c>
      <c r="P153" s="21">
        <f t="shared" si="11"/>
        <v>1.9040999999999999</v>
      </c>
    </row>
    <row r="154" spans="1:16" ht="15" customHeight="1" x14ac:dyDescent="0.3">
      <c r="A154" s="7" t="s">
        <v>150</v>
      </c>
      <c r="B154" s="7" t="s">
        <v>526</v>
      </c>
      <c r="C154" s="3" t="s">
        <v>744</v>
      </c>
      <c r="D154" s="8" t="s">
        <v>1</v>
      </c>
      <c r="E154" s="8" t="s">
        <v>5</v>
      </c>
      <c r="F154" s="6">
        <v>100</v>
      </c>
      <c r="G154" s="2">
        <v>0</v>
      </c>
      <c r="H154" s="2">
        <v>6.88E-2</v>
      </c>
      <c r="I154" s="2">
        <v>1.5603</v>
      </c>
      <c r="J154" s="2">
        <v>0</v>
      </c>
      <c r="K154" s="2">
        <v>2.9011</v>
      </c>
      <c r="L154" s="2">
        <v>56.070300000000003</v>
      </c>
      <c r="M154" s="20" t="str">
        <f t="shared" si="8"/>
        <v>0.00</v>
      </c>
      <c r="N154" s="21">
        <f t="shared" si="9"/>
        <v>-6.88E-2</v>
      </c>
      <c r="O154" s="21">
        <f t="shared" si="10"/>
        <v>-53.169200000000004</v>
      </c>
      <c r="P154" s="21">
        <f t="shared" si="11"/>
        <v>-2.9011</v>
      </c>
    </row>
    <row r="155" spans="1:16" ht="15" customHeight="1" x14ac:dyDescent="0.3">
      <c r="A155" s="7" t="s">
        <v>151</v>
      </c>
      <c r="B155" s="7" t="s">
        <v>526</v>
      </c>
      <c r="C155" s="3" t="s">
        <v>743</v>
      </c>
      <c r="D155" s="8" t="s">
        <v>1</v>
      </c>
      <c r="E155" s="8" t="s">
        <v>5</v>
      </c>
      <c r="F155" s="6">
        <v>72</v>
      </c>
      <c r="G155" s="2">
        <v>225.05289999999999</v>
      </c>
      <c r="H155" s="2">
        <v>160.9256</v>
      </c>
      <c r="I155" s="2">
        <v>66.089799999999997</v>
      </c>
      <c r="J155" s="2">
        <v>14096.87</v>
      </c>
      <c r="K155" s="2">
        <v>9843.2201000000005</v>
      </c>
      <c r="L155" s="2">
        <v>3643.3836000000001</v>
      </c>
      <c r="M155" s="20" t="str">
        <f t="shared" si="8"/>
        <v>-28.49</v>
      </c>
      <c r="N155" s="21">
        <f t="shared" si="9"/>
        <v>64.127299999999991</v>
      </c>
      <c r="O155" s="21">
        <f t="shared" si="10"/>
        <v>6199.8365000000003</v>
      </c>
      <c r="P155" s="21">
        <f t="shared" si="11"/>
        <v>4253.6499000000003</v>
      </c>
    </row>
    <row r="156" spans="1:16" ht="15" customHeight="1" x14ac:dyDescent="0.3">
      <c r="A156" s="7" t="s">
        <v>152</v>
      </c>
      <c r="B156" s="7" t="s">
        <v>526</v>
      </c>
      <c r="C156" s="3" t="s">
        <v>645</v>
      </c>
      <c r="D156" s="8" t="s">
        <v>1</v>
      </c>
      <c r="E156" s="8" t="s">
        <v>12</v>
      </c>
      <c r="F156" s="6">
        <v>72</v>
      </c>
      <c r="G156" s="2">
        <v>27.677700000000002</v>
      </c>
      <c r="H156" s="2">
        <v>22.1416</v>
      </c>
      <c r="I156" s="2">
        <v>9.0610999999999997</v>
      </c>
      <c r="J156" s="2">
        <v>1974.3932</v>
      </c>
      <c r="K156" s="2">
        <v>1482.2675999999999</v>
      </c>
      <c r="L156" s="2">
        <v>601.1807</v>
      </c>
      <c r="M156" s="20" t="str">
        <f t="shared" si="8"/>
        <v>-20.00</v>
      </c>
      <c r="N156" s="21">
        <f t="shared" si="9"/>
        <v>5.5361000000000011</v>
      </c>
      <c r="O156" s="21">
        <f t="shared" si="10"/>
        <v>881.0868999999999</v>
      </c>
      <c r="P156" s="21">
        <f t="shared" si="11"/>
        <v>492.12560000000008</v>
      </c>
    </row>
    <row r="157" spans="1:16" ht="15" customHeight="1" x14ac:dyDescent="0.3">
      <c r="A157" s="7" t="s">
        <v>153</v>
      </c>
      <c r="B157" s="7" t="s">
        <v>526</v>
      </c>
      <c r="C157" s="3" t="s">
        <v>646</v>
      </c>
      <c r="D157" s="8" t="s">
        <v>1</v>
      </c>
      <c r="E157" s="8" t="s">
        <v>12</v>
      </c>
      <c r="F157" s="6">
        <v>120</v>
      </c>
      <c r="G157" s="2">
        <v>41.221899999999998</v>
      </c>
      <c r="H157" s="2">
        <v>44.201300000000003</v>
      </c>
      <c r="I157" s="2">
        <v>20.616900000000001</v>
      </c>
      <c r="J157" s="2">
        <v>1922.9742000000001</v>
      </c>
      <c r="K157" s="2">
        <v>2020.3897999999999</v>
      </c>
      <c r="L157" s="2">
        <v>923.72320000000002</v>
      </c>
      <c r="M157" s="20" t="str">
        <f t="shared" si="8"/>
        <v>7.23</v>
      </c>
      <c r="N157" s="21">
        <f t="shared" si="9"/>
        <v>-2.9794000000000054</v>
      </c>
      <c r="O157" s="21">
        <f t="shared" si="10"/>
        <v>1096.6666</v>
      </c>
      <c r="P157" s="21">
        <f t="shared" si="11"/>
        <v>-97.415599999999813</v>
      </c>
    </row>
    <row r="158" spans="1:16" ht="15" customHeight="1" x14ac:dyDescent="0.3">
      <c r="A158" s="7" t="s">
        <v>154</v>
      </c>
      <c r="B158" s="7" t="s">
        <v>526</v>
      </c>
      <c r="C158" s="3" t="s">
        <v>646</v>
      </c>
      <c r="D158" s="8" t="s">
        <v>1</v>
      </c>
      <c r="E158" s="8" t="s">
        <v>12</v>
      </c>
      <c r="F158" s="6">
        <v>120</v>
      </c>
      <c r="G158" s="2">
        <v>41.486600000000003</v>
      </c>
      <c r="H158" s="2">
        <v>73.395700000000005</v>
      </c>
      <c r="I158" s="2">
        <v>40.033299999999997</v>
      </c>
      <c r="J158" s="2">
        <v>2454.0007999999998</v>
      </c>
      <c r="K158" s="2">
        <v>4307.1679999999997</v>
      </c>
      <c r="L158" s="2">
        <v>2180.9749000000002</v>
      </c>
      <c r="M158" s="20" t="str">
        <f t="shared" si="8"/>
        <v>76.91</v>
      </c>
      <c r="N158" s="21">
        <f t="shared" si="9"/>
        <v>-31.909100000000002</v>
      </c>
      <c r="O158" s="21">
        <f t="shared" si="10"/>
        <v>2126.1930999999995</v>
      </c>
      <c r="P158" s="21">
        <f t="shared" si="11"/>
        <v>-1853.1671999999999</v>
      </c>
    </row>
    <row r="159" spans="1:16" ht="15" customHeight="1" x14ac:dyDescent="0.3">
      <c r="A159" s="7" t="s">
        <v>155</v>
      </c>
      <c r="B159" s="7" t="s">
        <v>526</v>
      </c>
      <c r="C159" s="3" t="s">
        <v>646</v>
      </c>
      <c r="D159" s="8" t="s">
        <v>1</v>
      </c>
      <c r="E159" s="8" t="s">
        <v>12</v>
      </c>
      <c r="F159" s="6">
        <v>72</v>
      </c>
      <c r="G159" s="2">
        <v>0</v>
      </c>
      <c r="H159" s="2">
        <v>0</v>
      </c>
      <c r="I159" s="2">
        <v>0.36020000000000002</v>
      </c>
      <c r="J159" s="2">
        <v>0</v>
      </c>
      <c r="K159" s="2">
        <v>0</v>
      </c>
      <c r="L159" s="2">
        <v>18.523700000000002</v>
      </c>
      <c r="M159" s="20" t="str">
        <f t="shared" si="8"/>
        <v>0.00</v>
      </c>
      <c r="N159" s="21">
        <f t="shared" si="9"/>
        <v>0</v>
      </c>
      <c r="O159" s="21">
        <f t="shared" si="10"/>
        <v>-18.523700000000002</v>
      </c>
      <c r="P159" s="21">
        <f t="shared" si="11"/>
        <v>0</v>
      </c>
    </row>
    <row r="160" spans="1:16" ht="15" customHeight="1" x14ac:dyDescent="0.3">
      <c r="A160" s="7" t="s">
        <v>156</v>
      </c>
      <c r="B160" s="7" t="s">
        <v>526</v>
      </c>
      <c r="C160" s="3" t="s">
        <v>646</v>
      </c>
      <c r="D160" s="8" t="s">
        <v>1</v>
      </c>
      <c r="E160" s="8" t="s">
        <v>2</v>
      </c>
      <c r="F160" s="6">
        <v>72</v>
      </c>
      <c r="G160" s="2">
        <v>50.296300000000002</v>
      </c>
      <c r="H160" s="2">
        <v>34.107599999999998</v>
      </c>
      <c r="I160" s="2">
        <v>15.9543</v>
      </c>
      <c r="J160" s="2">
        <v>3350.8564000000001</v>
      </c>
      <c r="K160" s="2">
        <v>2178.5326</v>
      </c>
      <c r="L160" s="2">
        <v>866.22</v>
      </c>
      <c r="M160" s="20" t="str">
        <f t="shared" si="8"/>
        <v>-32.19</v>
      </c>
      <c r="N160" s="21">
        <f t="shared" si="9"/>
        <v>16.188700000000004</v>
      </c>
      <c r="O160" s="21">
        <f t="shared" si="10"/>
        <v>1312.3126</v>
      </c>
      <c r="P160" s="21">
        <f t="shared" si="11"/>
        <v>1172.3238000000001</v>
      </c>
    </row>
    <row r="161" spans="1:16" ht="15" customHeight="1" x14ac:dyDescent="0.3">
      <c r="A161" s="7" t="s">
        <v>157</v>
      </c>
      <c r="B161" s="7" t="s">
        <v>526</v>
      </c>
      <c r="C161" s="3" t="s">
        <v>646</v>
      </c>
      <c r="D161" s="8" t="s">
        <v>1</v>
      </c>
      <c r="E161" s="8" t="s">
        <v>2</v>
      </c>
      <c r="F161" s="6">
        <v>72</v>
      </c>
      <c r="G161" s="2">
        <v>5.0095999999999998</v>
      </c>
      <c r="H161" s="2">
        <v>5.5152000000000001</v>
      </c>
      <c r="I161" s="2">
        <v>4.4993999999999996</v>
      </c>
      <c r="J161" s="2">
        <v>141.5444</v>
      </c>
      <c r="K161" s="2">
        <v>154.2473</v>
      </c>
      <c r="L161" s="2">
        <v>124.59650000000001</v>
      </c>
      <c r="M161" s="20" t="str">
        <f t="shared" si="8"/>
        <v>10.09</v>
      </c>
      <c r="N161" s="21">
        <f t="shared" si="9"/>
        <v>-0.50560000000000027</v>
      </c>
      <c r="O161" s="21">
        <f t="shared" si="10"/>
        <v>29.65079999999999</v>
      </c>
      <c r="P161" s="21">
        <f t="shared" si="11"/>
        <v>-12.7029</v>
      </c>
    </row>
    <row r="162" spans="1:16" ht="15" customHeight="1" x14ac:dyDescent="0.3">
      <c r="A162" s="7" t="s">
        <v>158</v>
      </c>
      <c r="B162" s="7" t="s">
        <v>526</v>
      </c>
      <c r="C162" s="3" t="s">
        <v>742</v>
      </c>
      <c r="D162" s="8" t="s">
        <v>1</v>
      </c>
      <c r="E162" s="8" t="s">
        <v>12</v>
      </c>
      <c r="F162" s="6">
        <v>72</v>
      </c>
      <c r="G162" s="2">
        <v>4.6416000000000004</v>
      </c>
      <c r="H162" s="2">
        <v>5.1684999999999999</v>
      </c>
      <c r="I162" s="2">
        <v>0.78010000000000002</v>
      </c>
      <c r="J162" s="2">
        <v>142.55420000000001</v>
      </c>
      <c r="K162" s="2">
        <v>145.93899999999999</v>
      </c>
      <c r="L162" s="2">
        <v>21.435099999999998</v>
      </c>
      <c r="M162" s="20" t="str">
        <f t="shared" si="8"/>
        <v>11.35</v>
      </c>
      <c r="N162" s="21">
        <f t="shared" si="9"/>
        <v>-0.52689999999999948</v>
      </c>
      <c r="O162" s="21">
        <f t="shared" si="10"/>
        <v>124.50389999999999</v>
      </c>
      <c r="P162" s="21">
        <f t="shared" si="11"/>
        <v>-3.3847999999999843</v>
      </c>
    </row>
    <row r="163" spans="1:16" ht="15" customHeight="1" x14ac:dyDescent="0.3">
      <c r="A163" s="7" t="s">
        <v>159</v>
      </c>
      <c r="B163" s="7" t="s">
        <v>526</v>
      </c>
      <c r="C163" s="3" t="s">
        <v>735</v>
      </c>
      <c r="D163" s="8" t="s">
        <v>1</v>
      </c>
      <c r="E163" s="8" t="s">
        <v>12</v>
      </c>
      <c r="F163" s="6">
        <v>120</v>
      </c>
      <c r="G163" s="2">
        <v>137.1788</v>
      </c>
      <c r="H163" s="2">
        <v>116.5658</v>
      </c>
      <c r="I163" s="2">
        <v>65.912899999999993</v>
      </c>
      <c r="J163" s="2">
        <v>7929.3796000000002</v>
      </c>
      <c r="K163" s="2">
        <v>6740.5910999999996</v>
      </c>
      <c r="L163" s="2">
        <v>3524.3125</v>
      </c>
      <c r="M163" s="20" t="str">
        <f t="shared" si="8"/>
        <v>-15.03</v>
      </c>
      <c r="N163" s="21">
        <f t="shared" si="9"/>
        <v>20.613</v>
      </c>
      <c r="O163" s="21">
        <f t="shared" si="10"/>
        <v>3216.2785999999996</v>
      </c>
      <c r="P163" s="21">
        <f t="shared" si="11"/>
        <v>1188.7885000000006</v>
      </c>
    </row>
    <row r="164" spans="1:16" ht="15" customHeight="1" x14ac:dyDescent="0.3">
      <c r="A164" s="7" t="s">
        <v>160</v>
      </c>
      <c r="B164" s="7" t="s">
        <v>527</v>
      </c>
      <c r="C164" s="3" t="s">
        <v>647</v>
      </c>
      <c r="D164" s="8" t="s">
        <v>1</v>
      </c>
      <c r="E164" s="8" t="s">
        <v>5</v>
      </c>
      <c r="F164" s="6">
        <v>100</v>
      </c>
      <c r="G164" s="2">
        <v>14.2293</v>
      </c>
      <c r="H164" s="2">
        <v>21.789000000000001</v>
      </c>
      <c r="I164" s="2">
        <v>7.9466000000000001</v>
      </c>
      <c r="J164" s="2">
        <v>761.61429999999996</v>
      </c>
      <c r="K164" s="2">
        <v>1129.7994000000001</v>
      </c>
      <c r="L164" s="2">
        <v>412.24349999999998</v>
      </c>
      <c r="M164" s="20" t="str">
        <f t="shared" si="8"/>
        <v>53.13</v>
      </c>
      <c r="N164" s="21">
        <f t="shared" si="9"/>
        <v>-7.5597000000000012</v>
      </c>
      <c r="O164" s="21">
        <f t="shared" si="10"/>
        <v>717.55590000000007</v>
      </c>
      <c r="P164" s="21">
        <f t="shared" si="11"/>
        <v>-368.18510000000015</v>
      </c>
    </row>
    <row r="165" spans="1:16" ht="15" customHeight="1" x14ac:dyDescent="0.3">
      <c r="A165" s="7" t="s">
        <v>161</v>
      </c>
      <c r="B165" s="7" t="s">
        <v>528</v>
      </c>
      <c r="C165" s="3" t="s">
        <v>648</v>
      </c>
      <c r="D165" s="8" t="s">
        <v>1</v>
      </c>
      <c r="E165" s="8" t="s">
        <v>41</v>
      </c>
      <c r="F165" s="6">
        <v>72</v>
      </c>
      <c r="G165" s="2">
        <v>7.4866999999999999</v>
      </c>
      <c r="H165" s="2">
        <v>1.5100000000000001E-2</v>
      </c>
      <c r="I165" s="2">
        <v>0</v>
      </c>
      <c r="J165" s="2">
        <v>509.18150000000003</v>
      </c>
      <c r="K165" s="2">
        <v>0.77590000000000003</v>
      </c>
      <c r="L165" s="2">
        <v>0</v>
      </c>
      <c r="M165" s="20" t="str">
        <f t="shared" si="8"/>
        <v>-99.80</v>
      </c>
      <c r="N165" s="21">
        <f t="shared" si="9"/>
        <v>7.4715999999999996</v>
      </c>
      <c r="O165" s="21">
        <f t="shared" si="10"/>
        <v>0.77590000000000003</v>
      </c>
      <c r="P165" s="21">
        <f t="shared" si="11"/>
        <v>508.40560000000005</v>
      </c>
    </row>
    <row r="166" spans="1:16" ht="15" customHeight="1" x14ac:dyDescent="0.3">
      <c r="A166" s="7" t="s">
        <v>162</v>
      </c>
      <c r="B166" s="7" t="s">
        <v>529</v>
      </c>
      <c r="C166" s="3" t="s">
        <v>746</v>
      </c>
      <c r="D166" s="8" t="s">
        <v>1</v>
      </c>
      <c r="E166" s="8" t="s">
        <v>41</v>
      </c>
      <c r="F166" s="6">
        <v>63</v>
      </c>
      <c r="G166" s="2">
        <v>1.3945000000000001</v>
      </c>
      <c r="H166" s="2">
        <v>0</v>
      </c>
      <c r="I166" s="2">
        <v>0</v>
      </c>
      <c r="J166" s="2">
        <v>67.202299999999994</v>
      </c>
      <c r="K166" s="2">
        <v>0</v>
      </c>
      <c r="L166" s="2">
        <v>0</v>
      </c>
      <c r="M166" s="20" t="str">
        <f t="shared" si="8"/>
        <v>0.00</v>
      </c>
      <c r="N166" s="21">
        <f t="shared" si="9"/>
        <v>1.3945000000000001</v>
      </c>
      <c r="O166" s="21">
        <f t="shared" si="10"/>
        <v>0</v>
      </c>
      <c r="P166" s="21">
        <f t="shared" si="11"/>
        <v>67.202299999999994</v>
      </c>
    </row>
    <row r="167" spans="1:16" ht="15" customHeight="1" x14ac:dyDescent="0.3">
      <c r="A167" s="7" t="s">
        <v>163</v>
      </c>
      <c r="B167" s="7" t="s">
        <v>529</v>
      </c>
      <c r="C167" s="3" t="s">
        <v>746</v>
      </c>
      <c r="D167" s="8" t="s">
        <v>1</v>
      </c>
      <c r="E167" s="8" t="s">
        <v>12</v>
      </c>
      <c r="F167" s="6">
        <v>72</v>
      </c>
      <c r="G167" s="2">
        <v>7.7927999999999997</v>
      </c>
      <c r="H167" s="2">
        <v>0</v>
      </c>
      <c r="I167" s="2">
        <v>0</v>
      </c>
      <c r="J167" s="2">
        <v>362.96660000000003</v>
      </c>
      <c r="K167" s="2">
        <v>0</v>
      </c>
      <c r="L167" s="2">
        <v>0</v>
      </c>
      <c r="M167" s="20" t="str">
        <f t="shared" si="8"/>
        <v>0.00</v>
      </c>
      <c r="N167" s="21">
        <f t="shared" si="9"/>
        <v>7.7927999999999997</v>
      </c>
      <c r="O167" s="21">
        <f t="shared" si="10"/>
        <v>0</v>
      </c>
      <c r="P167" s="21">
        <f t="shared" si="11"/>
        <v>362.96660000000003</v>
      </c>
    </row>
    <row r="168" spans="1:16" ht="15" customHeight="1" x14ac:dyDescent="0.3">
      <c r="A168" s="7" t="s">
        <v>164</v>
      </c>
      <c r="B168" s="7" t="s">
        <v>530</v>
      </c>
      <c r="C168" s="3" t="s">
        <v>649</v>
      </c>
      <c r="D168" s="8" t="s">
        <v>1</v>
      </c>
      <c r="E168" s="8" t="s">
        <v>2</v>
      </c>
      <c r="F168" s="6">
        <v>72</v>
      </c>
      <c r="G168" s="2">
        <v>63.770400000000002</v>
      </c>
      <c r="H168" s="2">
        <v>23.340299999999999</v>
      </c>
      <c r="I168" s="2">
        <v>11.8607</v>
      </c>
      <c r="J168" s="2">
        <v>2545.3452000000002</v>
      </c>
      <c r="K168" s="2">
        <v>949.45609999999999</v>
      </c>
      <c r="L168" s="2">
        <v>459.19099999999997</v>
      </c>
      <c r="M168" s="20" t="str">
        <f t="shared" si="8"/>
        <v>-63.40</v>
      </c>
      <c r="N168" s="21">
        <f t="shared" si="9"/>
        <v>40.430100000000003</v>
      </c>
      <c r="O168" s="21">
        <f t="shared" si="10"/>
        <v>490.26510000000002</v>
      </c>
      <c r="P168" s="21">
        <f t="shared" si="11"/>
        <v>1595.8891000000003</v>
      </c>
    </row>
    <row r="169" spans="1:16" ht="15" customHeight="1" x14ac:dyDescent="0.3">
      <c r="A169" s="7" t="s">
        <v>165</v>
      </c>
      <c r="B169" s="7" t="s">
        <v>530</v>
      </c>
      <c r="C169" s="3" t="s">
        <v>649</v>
      </c>
      <c r="D169" s="8" t="s">
        <v>1</v>
      </c>
      <c r="E169" s="8" t="s">
        <v>12</v>
      </c>
      <c r="F169" s="6">
        <v>72</v>
      </c>
      <c r="G169" s="2">
        <v>12.7019</v>
      </c>
      <c r="H169" s="2">
        <v>13.0259</v>
      </c>
      <c r="I169" s="2">
        <v>5.5613999999999999</v>
      </c>
      <c r="J169" s="2">
        <v>553.99599999999998</v>
      </c>
      <c r="K169" s="2">
        <v>562.68320000000006</v>
      </c>
      <c r="L169" s="2">
        <v>225.62440000000001</v>
      </c>
      <c r="M169" s="20" t="str">
        <f t="shared" si="8"/>
        <v>2.55</v>
      </c>
      <c r="N169" s="21">
        <f t="shared" si="9"/>
        <v>-0.32399999999999984</v>
      </c>
      <c r="O169" s="21">
        <f t="shared" si="10"/>
        <v>337.05880000000002</v>
      </c>
      <c r="P169" s="21">
        <f t="shared" si="11"/>
        <v>-8.6872000000000753</v>
      </c>
    </row>
    <row r="170" spans="1:16" ht="15" customHeight="1" x14ac:dyDescent="0.3">
      <c r="A170" s="7" t="s">
        <v>166</v>
      </c>
      <c r="B170" s="7" t="s">
        <v>530</v>
      </c>
      <c r="C170" s="3" t="s">
        <v>650</v>
      </c>
      <c r="D170" s="8" t="s">
        <v>1</v>
      </c>
      <c r="E170" s="8" t="s">
        <v>5</v>
      </c>
      <c r="F170" s="6">
        <v>72</v>
      </c>
      <c r="G170" s="2">
        <v>0.59</v>
      </c>
      <c r="H170" s="2">
        <v>0</v>
      </c>
      <c r="I170" s="2">
        <v>0</v>
      </c>
      <c r="J170" s="2">
        <v>18.470099999999999</v>
      </c>
      <c r="K170" s="2">
        <v>0</v>
      </c>
      <c r="L170" s="2">
        <v>0</v>
      </c>
      <c r="M170" s="20" t="str">
        <f t="shared" si="8"/>
        <v>0.00</v>
      </c>
      <c r="N170" s="21">
        <f t="shared" si="9"/>
        <v>0.59</v>
      </c>
      <c r="O170" s="21">
        <f t="shared" si="10"/>
        <v>0</v>
      </c>
      <c r="P170" s="21">
        <f t="shared" si="11"/>
        <v>18.470099999999999</v>
      </c>
    </row>
    <row r="171" spans="1:16" ht="15" customHeight="1" x14ac:dyDescent="0.3">
      <c r="A171" s="7" t="s">
        <v>167</v>
      </c>
      <c r="B171" s="7" t="s">
        <v>530</v>
      </c>
      <c r="C171" s="3" t="s">
        <v>650</v>
      </c>
      <c r="D171" s="8" t="s">
        <v>1</v>
      </c>
      <c r="E171" s="8" t="s">
        <v>12</v>
      </c>
      <c r="F171" s="6">
        <v>72</v>
      </c>
      <c r="G171" s="2">
        <v>0.59</v>
      </c>
      <c r="H171" s="2">
        <v>0</v>
      </c>
      <c r="I171" s="2">
        <v>0</v>
      </c>
      <c r="J171" s="2">
        <v>18.470099999999999</v>
      </c>
      <c r="K171" s="2">
        <v>0</v>
      </c>
      <c r="L171" s="2">
        <v>0</v>
      </c>
      <c r="M171" s="20" t="str">
        <f t="shared" si="8"/>
        <v>0.00</v>
      </c>
      <c r="N171" s="21">
        <f t="shared" si="9"/>
        <v>0.59</v>
      </c>
      <c r="O171" s="21">
        <f t="shared" si="10"/>
        <v>0</v>
      </c>
      <c r="P171" s="21">
        <f t="shared" si="11"/>
        <v>18.470099999999999</v>
      </c>
    </row>
    <row r="172" spans="1:16" ht="15" customHeight="1" x14ac:dyDescent="0.3">
      <c r="A172" s="7" t="s">
        <v>168</v>
      </c>
      <c r="B172" s="7" t="s">
        <v>531</v>
      </c>
      <c r="C172" s="3" t="s">
        <v>651</v>
      </c>
      <c r="D172" s="8" t="s">
        <v>1</v>
      </c>
      <c r="E172" s="8" t="s">
        <v>45</v>
      </c>
      <c r="F172" s="6">
        <v>50</v>
      </c>
      <c r="G172" s="2">
        <v>0</v>
      </c>
      <c r="H172" s="2">
        <v>1.1446000000000001</v>
      </c>
      <c r="I172" s="2">
        <v>0.29039999999999999</v>
      </c>
      <c r="J172" s="2">
        <v>0</v>
      </c>
      <c r="K172" s="2">
        <v>11.6808</v>
      </c>
      <c r="L172" s="2">
        <v>3.3864000000000001</v>
      </c>
      <c r="M172" s="20" t="str">
        <f t="shared" si="8"/>
        <v>0.00</v>
      </c>
      <c r="N172" s="21">
        <f t="shared" si="9"/>
        <v>-1.1446000000000001</v>
      </c>
      <c r="O172" s="21">
        <f t="shared" si="10"/>
        <v>8.2943999999999996</v>
      </c>
      <c r="P172" s="21">
        <f t="shared" si="11"/>
        <v>-11.6808</v>
      </c>
    </row>
    <row r="173" spans="1:16" ht="15" customHeight="1" x14ac:dyDescent="0.3">
      <c r="A173" s="7" t="s">
        <v>169</v>
      </c>
      <c r="B173" s="7" t="s">
        <v>531</v>
      </c>
      <c r="C173" s="3" t="s">
        <v>651</v>
      </c>
      <c r="D173" s="8" t="s">
        <v>1</v>
      </c>
      <c r="E173" s="8" t="s">
        <v>45</v>
      </c>
      <c r="F173" s="6">
        <v>50</v>
      </c>
      <c r="G173" s="2">
        <v>0</v>
      </c>
      <c r="H173" s="2">
        <v>0.49220000000000003</v>
      </c>
      <c r="I173" s="2">
        <v>0.1164</v>
      </c>
      <c r="J173" s="2">
        <v>0</v>
      </c>
      <c r="K173" s="2">
        <v>4.2202000000000002</v>
      </c>
      <c r="L173" s="2">
        <v>0.85</v>
      </c>
      <c r="M173" s="20" t="str">
        <f t="shared" si="8"/>
        <v>0.00</v>
      </c>
      <c r="N173" s="21">
        <f t="shared" si="9"/>
        <v>-0.49220000000000003</v>
      </c>
      <c r="O173" s="21">
        <f t="shared" si="10"/>
        <v>3.3702000000000001</v>
      </c>
      <c r="P173" s="21">
        <f t="shared" si="11"/>
        <v>-4.2202000000000002</v>
      </c>
    </row>
    <row r="174" spans="1:16" ht="15" customHeight="1" x14ac:dyDescent="0.3">
      <c r="A174" s="7" t="s">
        <v>170</v>
      </c>
      <c r="B174" s="7" t="s">
        <v>531</v>
      </c>
      <c r="C174" s="3" t="s">
        <v>651</v>
      </c>
      <c r="D174" s="8" t="s">
        <v>1</v>
      </c>
      <c r="E174" s="8" t="s">
        <v>5</v>
      </c>
      <c r="F174" s="6">
        <v>50</v>
      </c>
      <c r="G174" s="2">
        <v>0</v>
      </c>
      <c r="H174" s="2">
        <v>1.4152</v>
      </c>
      <c r="I174" s="2">
        <v>0.3513</v>
      </c>
      <c r="J174" s="2">
        <v>0</v>
      </c>
      <c r="K174" s="2">
        <v>20.5671</v>
      </c>
      <c r="L174" s="2">
        <v>6.5918999999999999</v>
      </c>
      <c r="M174" s="20" t="str">
        <f t="shared" si="8"/>
        <v>0.00</v>
      </c>
      <c r="N174" s="21">
        <f t="shared" si="9"/>
        <v>-1.4152</v>
      </c>
      <c r="O174" s="21">
        <f t="shared" si="10"/>
        <v>13.975200000000001</v>
      </c>
      <c r="P174" s="21">
        <f t="shared" si="11"/>
        <v>-20.5671</v>
      </c>
    </row>
    <row r="175" spans="1:16" ht="15" customHeight="1" x14ac:dyDescent="0.3">
      <c r="A175" s="7" t="s">
        <v>171</v>
      </c>
      <c r="B175" s="7" t="s">
        <v>531</v>
      </c>
      <c r="C175" s="3" t="s">
        <v>652</v>
      </c>
      <c r="D175" s="8" t="s">
        <v>1</v>
      </c>
      <c r="E175" s="8" t="s">
        <v>2</v>
      </c>
      <c r="F175" s="6">
        <v>120</v>
      </c>
      <c r="G175" s="2">
        <v>6.1999999999999998E-3</v>
      </c>
      <c r="H175" s="2">
        <v>21.155899999999999</v>
      </c>
      <c r="I175" s="2">
        <v>10.029400000000001</v>
      </c>
      <c r="J175" s="2">
        <v>0.32569999999999999</v>
      </c>
      <c r="K175" s="2">
        <v>1092.0349000000001</v>
      </c>
      <c r="L175" s="2">
        <v>489.28280000000001</v>
      </c>
      <c r="M175" s="20" t="str">
        <f t="shared" si="8"/>
        <v>341124.19</v>
      </c>
      <c r="N175" s="21">
        <f t="shared" si="9"/>
        <v>-21.149699999999999</v>
      </c>
      <c r="O175" s="21">
        <f t="shared" si="10"/>
        <v>602.75210000000015</v>
      </c>
      <c r="P175" s="21">
        <f t="shared" si="11"/>
        <v>-1091.7092</v>
      </c>
    </row>
    <row r="176" spans="1:16" ht="15" customHeight="1" x14ac:dyDescent="0.3">
      <c r="A176" s="7" t="s">
        <v>172</v>
      </c>
      <c r="B176" s="7" t="s">
        <v>531</v>
      </c>
      <c r="C176" s="3" t="s">
        <v>652</v>
      </c>
      <c r="D176" s="8" t="s">
        <v>1</v>
      </c>
      <c r="E176" s="8" t="s">
        <v>2</v>
      </c>
      <c r="F176" s="6">
        <v>72</v>
      </c>
      <c r="G176" s="2">
        <v>230.74209999999999</v>
      </c>
      <c r="H176" s="2">
        <v>277.85789999999997</v>
      </c>
      <c r="I176" s="2">
        <v>133.2149</v>
      </c>
      <c r="J176" s="2">
        <v>11792.3397</v>
      </c>
      <c r="K176" s="2">
        <v>14416.314700000001</v>
      </c>
      <c r="L176" s="2">
        <v>6626.5474000000004</v>
      </c>
      <c r="M176" s="20" t="str">
        <f t="shared" si="8"/>
        <v>20.42</v>
      </c>
      <c r="N176" s="21">
        <f t="shared" si="9"/>
        <v>-47.115799999999979</v>
      </c>
      <c r="O176" s="21">
        <f t="shared" si="10"/>
        <v>7789.7673000000004</v>
      </c>
      <c r="P176" s="21">
        <f t="shared" si="11"/>
        <v>-2623.9750000000004</v>
      </c>
    </row>
    <row r="177" spans="1:16" ht="15" customHeight="1" x14ac:dyDescent="0.3">
      <c r="A177" s="7" t="s">
        <v>173</v>
      </c>
      <c r="B177" s="7" t="s">
        <v>532</v>
      </c>
      <c r="C177" s="3" t="s">
        <v>653</v>
      </c>
      <c r="D177" s="8" t="s">
        <v>1</v>
      </c>
      <c r="E177" s="8" t="s">
        <v>5</v>
      </c>
      <c r="F177" s="6">
        <v>50</v>
      </c>
      <c r="G177" s="2">
        <v>0.37059999999999998</v>
      </c>
      <c r="H177" s="2">
        <v>0.24890000000000001</v>
      </c>
      <c r="I177" s="2">
        <v>0</v>
      </c>
      <c r="J177" s="2">
        <v>9.2727000000000004</v>
      </c>
      <c r="K177" s="2">
        <v>7.0415000000000001</v>
      </c>
      <c r="L177" s="2">
        <v>0</v>
      </c>
      <c r="M177" s="20" t="str">
        <f t="shared" si="8"/>
        <v>-32.84</v>
      </c>
      <c r="N177" s="21">
        <f t="shared" si="9"/>
        <v>0.12169999999999997</v>
      </c>
      <c r="O177" s="21">
        <f t="shared" si="10"/>
        <v>7.0415000000000001</v>
      </c>
      <c r="P177" s="21">
        <f t="shared" si="11"/>
        <v>2.2312000000000003</v>
      </c>
    </row>
    <row r="178" spans="1:16" ht="15" customHeight="1" x14ac:dyDescent="0.3">
      <c r="A178" s="7" t="s">
        <v>174</v>
      </c>
      <c r="B178" s="7" t="s">
        <v>532</v>
      </c>
      <c r="C178" s="3" t="s">
        <v>653</v>
      </c>
      <c r="D178" s="8" t="s">
        <v>1</v>
      </c>
      <c r="E178" s="8" t="s">
        <v>5</v>
      </c>
      <c r="F178" s="6">
        <v>60</v>
      </c>
      <c r="G178" s="2">
        <v>29.4162</v>
      </c>
      <c r="H178" s="2">
        <v>107.9663</v>
      </c>
      <c r="I178" s="2">
        <v>52.6723</v>
      </c>
      <c r="J178" s="2">
        <v>866.39819999999997</v>
      </c>
      <c r="K178" s="2">
        <v>3176.0981999999999</v>
      </c>
      <c r="L178" s="2">
        <v>1396.3396</v>
      </c>
      <c r="M178" s="20" t="str">
        <f t="shared" si="8"/>
        <v>267.03</v>
      </c>
      <c r="N178" s="21">
        <f t="shared" si="9"/>
        <v>-78.5501</v>
      </c>
      <c r="O178" s="21">
        <f t="shared" si="10"/>
        <v>1779.7585999999999</v>
      </c>
      <c r="P178" s="21">
        <f t="shared" si="11"/>
        <v>-2309.6999999999998</v>
      </c>
    </row>
    <row r="179" spans="1:16" ht="15" customHeight="1" x14ac:dyDescent="0.3">
      <c r="A179" s="7" t="s">
        <v>175</v>
      </c>
      <c r="B179" s="7" t="s">
        <v>532</v>
      </c>
      <c r="C179" s="3" t="s">
        <v>653</v>
      </c>
      <c r="D179" s="8" t="s">
        <v>1</v>
      </c>
      <c r="E179" s="8" t="s">
        <v>5</v>
      </c>
      <c r="F179" s="6">
        <v>60</v>
      </c>
      <c r="G179" s="2">
        <v>2.2702</v>
      </c>
      <c r="H179" s="2">
        <v>6.8476999999999997</v>
      </c>
      <c r="I179" s="2">
        <v>4.3963000000000001</v>
      </c>
      <c r="J179" s="2">
        <v>71.277600000000007</v>
      </c>
      <c r="K179" s="2">
        <v>210.60059999999999</v>
      </c>
      <c r="L179" s="2">
        <v>121.2728</v>
      </c>
      <c r="M179" s="20" t="str">
        <f t="shared" si="8"/>
        <v>201.63</v>
      </c>
      <c r="N179" s="21">
        <f t="shared" si="9"/>
        <v>-4.5774999999999997</v>
      </c>
      <c r="O179" s="21">
        <f t="shared" si="10"/>
        <v>89.327799999999982</v>
      </c>
      <c r="P179" s="21">
        <f t="shared" si="11"/>
        <v>-139.32299999999998</v>
      </c>
    </row>
    <row r="180" spans="1:16" ht="15" customHeight="1" x14ac:dyDescent="0.3">
      <c r="A180" s="7" t="s">
        <v>176</v>
      </c>
      <c r="B180" s="7" t="s">
        <v>532</v>
      </c>
      <c r="C180" s="3" t="s">
        <v>653</v>
      </c>
      <c r="D180" s="8" t="s">
        <v>1</v>
      </c>
      <c r="E180" s="8" t="s">
        <v>5</v>
      </c>
      <c r="F180" s="6">
        <v>60</v>
      </c>
      <c r="G180" s="2">
        <v>296.26589999999999</v>
      </c>
      <c r="H180" s="2">
        <v>290.55259999999998</v>
      </c>
      <c r="I180" s="2">
        <v>128.1713</v>
      </c>
      <c r="J180" s="2">
        <v>8749.3634000000002</v>
      </c>
      <c r="K180" s="2">
        <v>8593.8201000000008</v>
      </c>
      <c r="L180" s="2">
        <v>3618.6093999999998</v>
      </c>
      <c r="M180" s="20" t="str">
        <f t="shared" si="8"/>
        <v>-1.93</v>
      </c>
      <c r="N180" s="21">
        <f t="shared" si="9"/>
        <v>5.7133000000000038</v>
      </c>
      <c r="O180" s="21">
        <f t="shared" si="10"/>
        <v>4975.2107000000015</v>
      </c>
      <c r="P180" s="21">
        <f t="shared" si="11"/>
        <v>155.54329999999936</v>
      </c>
    </row>
    <row r="181" spans="1:16" ht="15" customHeight="1" x14ac:dyDescent="0.3">
      <c r="A181" s="7" t="s">
        <v>177</v>
      </c>
      <c r="B181" s="7" t="s">
        <v>532</v>
      </c>
      <c r="C181" s="3" t="s">
        <v>653</v>
      </c>
      <c r="D181" s="8" t="s">
        <v>1</v>
      </c>
      <c r="E181" s="8" t="s">
        <v>5</v>
      </c>
      <c r="F181" s="6">
        <v>60</v>
      </c>
      <c r="G181" s="2">
        <v>2.9716999999999998</v>
      </c>
      <c r="H181" s="2">
        <v>0.47810000000000002</v>
      </c>
      <c r="I181" s="2">
        <v>0.26490000000000002</v>
      </c>
      <c r="J181" s="2">
        <v>93.2804</v>
      </c>
      <c r="K181" s="2">
        <v>14.5885</v>
      </c>
      <c r="L181" s="2">
        <v>7.5808999999999997</v>
      </c>
      <c r="M181" s="20" t="str">
        <f t="shared" si="8"/>
        <v>-83.91</v>
      </c>
      <c r="N181" s="21">
        <f t="shared" si="9"/>
        <v>2.4935999999999998</v>
      </c>
      <c r="O181" s="21">
        <f t="shared" si="10"/>
        <v>7.0076000000000001</v>
      </c>
      <c r="P181" s="21">
        <f t="shared" si="11"/>
        <v>78.691900000000004</v>
      </c>
    </row>
    <row r="182" spans="1:16" ht="15" customHeight="1" x14ac:dyDescent="0.3">
      <c r="A182" s="7" t="s">
        <v>178</v>
      </c>
      <c r="B182" s="7" t="s">
        <v>532</v>
      </c>
      <c r="C182" s="3" t="s">
        <v>653</v>
      </c>
      <c r="D182" s="8" t="s">
        <v>1</v>
      </c>
      <c r="E182" s="8" t="s">
        <v>5</v>
      </c>
      <c r="F182" s="6">
        <v>63</v>
      </c>
      <c r="G182" s="2">
        <v>0.21840000000000001</v>
      </c>
      <c r="H182" s="2">
        <v>0</v>
      </c>
      <c r="I182" s="2">
        <v>0</v>
      </c>
      <c r="J182" s="2">
        <v>7.3784000000000001</v>
      </c>
      <c r="K182" s="2">
        <v>0</v>
      </c>
      <c r="L182" s="2">
        <v>0</v>
      </c>
      <c r="M182" s="20" t="str">
        <f t="shared" si="8"/>
        <v>0.00</v>
      </c>
      <c r="N182" s="21">
        <f t="shared" si="9"/>
        <v>0.21840000000000001</v>
      </c>
      <c r="O182" s="21">
        <f t="shared" si="10"/>
        <v>0</v>
      </c>
      <c r="P182" s="21">
        <f t="shared" si="11"/>
        <v>7.3784000000000001</v>
      </c>
    </row>
    <row r="183" spans="1:16" ht="15" customHeight="1" x14ac:dyDescent="0.3">
      <c r="A183" s="7" t="s">
        <v>179</v>
      </c>
      <c r="B183" s="7" t="s">
        <v>532</v>
      </c>
      <c r="C183" s="3" t="s">
        <v>653</v>
      </c>
      <c r="D183" s="8" t="s">
        <v>1</v>
      </c>
      <c r="E183" s="8" t="s">
        <v>2</v>
      </c>
      <c r="F183" s="6">
        <v>63</v>
      </c>
      <c r="G183" s="2">
        <v>0.50360000000000005</v>
      </c>
      <c r="H183" s="2">
        <v>0</v>
      </c>
      <c r="I183" s="2">
        <v>0</v>
      </c>
      <c r="J183" s="2">
        <v>14.988200000000001</v>
      </c>
      <c r="K183" s="2">
        <v>0</v>
      </c>
      <c r="L183" s="2">
        <v>0</v>
      </c>
      <c r="M183" s="20" t="str">
        <f t="shared" si="8"/>
        <v>0.00</v>
      </c>
      <c r="N183" s="21">
        <f t="shared" si="9"/>
        <v>0.50360000000000005</v>
      </c>
      <c r="O183" s="21">
        <f t="shared" si="10"/>
        <v>0</v>
      </c>
      <c r="P183" s="21">
        <f t="shared" si="11"/>
        <v>14.988200000000001</v>
      </c>
    </row>
    <row r="184" spans="1:16" ht="15" customHeight="1" x14ac:dyDescent="0.3">
      <c r="A184" s="7" t="s">
        <v>180</v>
      </c>
      <c r="B184" s="7" t="s">
        <v>533</v>
      </c>
      <c r="C184" s="3" t="s">
        <v>654</v>
      </c>
      <c r="D184" s="8" t="s">
        <v>1</v>
      </c>
      <c r="E184" s="8" t="s">
        <v>181</v>
      </c>
      <c r="F184" s="6">
        <v>20</v>
      </c>
      <c r="G184" s="2">
        <v>0.17610000000000001</v>
      </c>
      <c r="H184" s="2">
        <v>1.0699999999999999E-2</v>
      </c>
      <c r="I184" s="2">
        <v>0</v>
      </c>
      <c r="J184" s="2">
        <v>3.1602000000000001</v>
      </c>
      <c r="K184" s="2">
        <v>0.19450000000000001</v>
      </c>
      <c r="L184" s="2">
        <v>0</v>
      </c>
      <c r="M184" s="20" t="str">
        <f t="shared" si="8"/>
        <v>-93.92</v>
      </c>
      <c r="N184" s="21">
        <f t="shared" si="9"/>
        <v>0.16540000000000002</v>
      </c>
      <c r="O184" s="21">
        <f t="shared" si="10"/>
        <v>0.19450000000000001</v>
      </c>
      <c r="P184" s="21">
        <f t="shared" si="11"/>
        <v>2.9657</v>
      </c>
    </row>
    <row r="185" spans="1:16" ht="15" customHeight="1" x14ac:dyDescent="0.3">
      <c r="A185" s="7" t="s">
        <v>182</v>
      </c>
      <c r="B185" s="7" t="s">
        <v>533</v>
      </c>
      <c r="C185" s="3" t="s">
        <v>654</v>
      </c>
      <c r="D185" s="8" t="s">
        <v>1</v>
      </c>
      <c r="E185" s="8" t="s">
        <v>181</v>
      </c>
      <c r="F185" s="6">
        <v>20</v>
      </c>
      <c r="G185" s="2">
        <v>0.50239999999999996</v>
      </c>
      <c r="H185" s="2">
        <v>6.6451000000000002</v>
      </c>
      <c r="I185" s="2">
        <v>0</v>
      </c>
      <c r="J185" s="2">
        <v>10.56</v>
      </c>
      <c r="K185" s="2">
        <v>115.3312</v>
      </c>
      <c r="L185" s="2">
        <v>0</v>
      </c>
      <c r="M185" s="20" t="str">
        <f t="shared" si="8"/>
        <v>1222.67</v>
      </c>
      <c r="N185" s="21">
        <f t="shared" si="9"/>
        <v>-6.1427000000000005</v>
      </c>
      <c r="O185" s="21">
        <f t="shared" si="10"/>
        <v>115.3312</v>
      </c>
      <c r="P185" s="21">
        <f t="shared" si="11"/>
        <v>-104.77119999999999</v>
      </c>
    </row>
    <row r="186" spans="1:16" ht="15" customHeight="1" x14ac:dyDescent="0.3">
      <c r="A186" s="7" t="s">
        <v>183</v>
      </c>
      <c r="B186" s="7" t="s">
        <v>533</v>
      </c>
      <c r="C186" s="3" t="s">
        <v>654</v>
      </c>
      <c r="D186" s="8" t="s">
        <v>1</v>
      </c>
      <c r="E186" s="8" t="s">
        <v>181</v>
      </c>
      <c r="F186" s="6">
        <v>56</v>
      </c>
      <c r="G186" s="2">
        <v>0.31990000000000002</v>
      </c>
      <c r="H186" s="2">
        <v>0</v>
      </c>
      <c r="I186" s="2">
        <v>0</v>
      </c>
      <c r="J186" s="2">
        <v>7.3638000000000003</v>
      </c>
      <c r="K186" s="2">
        <v>0</v>
      </c>
      <c r="L186" s="2">
        <v>0</v>
      </c>
      <c r="M186" s="20" t="str">
        <f t="shared" si="8"/>
        <v>0.00</v>
      </c>
      <c r="N186" s="21">
        <f t="shared" si="9"/>
        <v>0.31990000000000002</v>
      </c>
      <c r="O186" s="21">
        <f t="shared" si="10"/>
        <v>0</v>
      </c>
      <c r="P186" s="21">
        <f t="shared" si="11"/>
        <v>7.3638000000000003</v>
      </c>
    </row>
    <row r="187" spans="1:16" ht="15" customHeight="1" x14ac:dyDescent="0.3">
      <c r="A187" s="7" t="s">
        <v>184</v>
      </c>
      <c r="B187" s="7" t="s">
        <v>533</v>
      </c>
      <c r="C187" s="3" t="s">
        <v>654</v>
      </c>
      <c r="D187" s="8" t="s">
        <v>1</v>
      </c>
      <c r="E187" s="8" t="s">
        <v>181</v>
      </c>
      <c r="F187" s="6">
        <v>56</v>
      </c>
      <c r="G187" s="2">
        <v>3.0116000000000001</v>
      </c>
      <c r="H187" s="2">
        <v>0</v>
      </c>
      <c r="I187" s="2">
        <v>0</v>
      </c>
      <c r="J187" s="2">
        <v>62.468000000000004</v>
      </c>
      <c r="K187" s="2">
        <v>0</v>
      </c>
      <c r="L187" s="2">
        <v>0</v>
      </c>
      <c r="M187" s="20" t="str">
        <f t="shared" si="8"/>
        <v>0.00</v>
      </c>
      <c r="N187" s="21">
        <f t="shared" si="9"/>
        <v>3.0116000000000001</v>
      </c>
      <c r="O187" s="21">
        <f t="shared" si="10"/>
        <v>0</v>
      </c>
      <c r="P187" s="21">
        <f t="shared" si="11"/>
        <v>62.468000000000004</v>
      </c>
    </row>
    <row r="188" spans="1:16" ht="15" customHeight="1" x14ac:dyDescent="0.3">
      <c r="A188" s="7" t="s">
        <v>185</v>
      </c>
      <c r="B188" s="7" t="s">
        <v>534</v>
      </c>
      <c r="C188" s="3" t="s">
        <v>747</v>
      </c>
      <c r="D188" s="8" t="s">
        <v>1</v>
      </c>
      <c r="E188" s="8" t="s">
        <v>5</v>
      </c>
      <c r="F188" s="6">
        <v>10</v>
      </c>
      <c r="G188" s="2">
        <v>1.7111000000000001</v>
      </c>
      <c r="H188" s="2">
        <v>0.48920000000000002</v>
      </c>
      <c r="I188" s="2">
        <v>7.6600000000000001E-2</v>
      </c>
      <c r="J188" s="2">
        <v>14.330299999999999</v>
      </c>
      <c r="K188" s="2">
        <v>3.8454999999999999</v>
      </c>
      <c r="L188" s="2">
        <v>0.62309999999999999</v>
      </c>
      <c r="M188" s="20" t="str">
        <f t="shared" si="8"/>
        <v>-71.41</v>
      </c>
      <c r="N188" s="21">
        <f t="shared" si="9"/>
        <v>1.2219</v>
      </c>
      <c r="O188" s="21">
        <f t="shared" si="10"/>
        <v>3.2223999999999999</v>
      </c>
      <c r="P188" s="21">
        <f t="shared" si="11"/>
        <v>10.4848</v>
      </c>
    </row>
    <row r="189" spans="1:16" ht="15" customHeight="1" x14ac:dyDescent="0.3">
      <c r="A189" s="7" t="s">
        <v>186</v>
      </c>
      <c r="B189" s="7" t="s">
        <v>534</v>
      </c>
      <c r="C189" s="3" t="s">
        <v>747</v>
      </c>
      <c r="D189" s="8" t="s">
        <v>1</v>
      </c>
      <c r="E189" s="8" t="s">
        <v>41</v>
      </c>
      <c r="F189" s="6">
        <v>52</v>
      </c>
      <c r="G189" s="2">
        <v>88.057900000000004</v>
      </c>
      <c r="H189" s="2">
        <v>26.767399999999999</v>
      </c>
      <c r="I189" s="2">
        <v>2.3372999999999999</v>
      </c>
      <c r="J189" s="2">
        <v>2166.7952</v>
      </c>
      <c r="K189" s="2">
        <v>614.64589999999998</v>
      </c>
      <c r="L189" s="2">
        <v>48.202599999999997</v>
      </c>
      <c r="M189" s="20" t="str">
        <f t="shared" si="8"/>
        <v>-69.60</v>
      </c>
      <c r="N189" s="21">
        <f t="shared" si="9"/>
        <v>61.290500000000009</v>
      </c>
      <c r="O189" s="21">
        <f t="shared" si="10"/>
        <v>566.44330000000002</v>
      </c>
      <c r="P189" s="21">
        <f t="shared" si="11"/>
        <v>1552.1493</v>
      </c>
    </row>
    <row r="190" spans="1:16" ht="15" customHeight="1" x14ac:dyDescent="0.3">
      <c r="A190" s="7" t="s">
        <v>187</v>
      </c>
      <c r="B190" s="7" t="s">
        <v>534</v>
      </c>
      <c r="C190" s="3" t="s">
        <v>747</v>
      </c>
      <c r="D190" s="8" t="s">
        <v>1</v>
      </c>
      <c r="E190" s="8" t="s">
        <v>2</v>
      </c>
      <c r="F190" s="6">
        <v>56</v>
      </c>
      <c r="G190" s="2">
        <v>1.0826</v>
      </c>
      <c r="H190" s="2">
        <v>0.79220000000000002</v>
      </c>
      <c r="I190" s="2">
        <v>0</v>
      </c>
      <c r="J190" s="2">
        <v>19.760000000000002</v>
      </c>
      <c r="K190" s="2">
        <v>17.024000000000001</v>
      </c>
      <c r="L190" s="2">
        <v>0</v>
      </c>
      <c r="M190" s="20" t="str">
        <f t="shared" si="8"/>
        <v>-26.82</v>
      </c>
      <c r="N190" s="21">
        <f t="shared" si="9"/>
        <v>0.29039999999999999</v>
      </c>
      <c r="O190" s="21">
        <f t="shared" si="10"/>
        <v>17.024000000000001</v>
      </c>
      <c r="P190" s="21">
        <f t="shared" si="11"/>
        <v>2.7360000000000007</v>
      </c>
    </row>
    <row r="191" spans="1:16" ht="15" customHeight="1" x14ac:dyDescent="0.3">
      <c r="A191" s="7" t="s">
        <v>188</v>
      </c>
      <c r="B191" s="7" t="s">
        <v>534</v>
      </c>
      <c r="C191" s="3" t="s">
        <v>747</v>
      </c>
      <c r="D191" s="8" t="s">
        <v>1</v>
      </c>
      <c r="E191" s="8" t="s">
        <v>5</v>
      </c>
      <c r="F191" s="6">
        <v>56</v>
      </c>
      <c r="G191" s="2">
        <v>0.44109999999999999</v>
      </c>
      <c r="H191" s="2">
        <v>0.41260000000000002</v>
      </c>
      <c r="I191" s="2">
        <v>4.5600000000000002E-2</v>
      </c>
      <c r="J191" s="2">
        <v>8.4567999999999994</v>
      </c>
      <c r="K191" s="2">
        <v>6.601</v>
      </c>
      <c r="L191" s="2">
        <v>0.72929999999999995</v>
      </c>
      <c r="M191" s="20" t="str">
        <f t="shared" si="8"/>
        <v>-6.46</v>
      </c>
      <c r="N191" s="21">
        <f t="shared" si="9"/>
        <v>2.849999999999997E-2</v>
      </c>
      <c r="O191" s="21">
        <f t="shared" si="10"/>
        <v>5.8716999999999997</v>
      </c>
      <c r="P191" s="21">
        <f t="shared" si="11"/>
        <v>1.8557999999999995</v>
      </c>
    </row>
    <row r="192" spans="1:16" ht="15" customHeight="1" x14ac:dyDescent="0.3">
      <c r="A192" s="7" t="s">
        <v>189</v>
      </c>
      <c r="B192" s="7" t="s">
        <v>534</v>
      </c>
      <c r="C192" s="3" t="s">
        <v>747</v>
      </c>
      <c r="D192" s="8" t="s">
        <v>1</v>
      </c>
      <c r="E192" s="8" t="s">
        <v>41</v>
      </c>
      <c r="F192" s="6">
        <v>56</v>
      </c>
      <c r="G192" s="2">
        <v>2.1700000000000001E-2</v>
      </c>
      <c r="H192" s="2">
        <v>0</v>
      </c>
      <c r="I192" s="2">
        <v>0</v>
      </c>
      <c r="J192" s="2">
        <v>0.48470000000000002</v>
      </c>
      <c r="K192" s="2">
        <v>0</v>
      </c>
      <c r="L192" s="2">
        <v>0</v>
      </c>
      <c r="M192" s="20" t="str">
        <f t="shared" si="8"/>
        <v>0.00</v>
      </c>
      <c r="N192" s="21">
        <f t="shared" si="9"/>
        <v>2.1700000000000001E-2</v>
      </c>
      <c r="O192" s="21">
        <f t="shared" si="10"/>
        <v>0</v>
      </c>
      <c r="P192" s="21">
        <f t="shared" si="11"/>
        <v>0.48470000000000002</v>
      </c>
    </row>
    <row r="193" spans="1:16" ht="15" customHeight="1" x14ac:dyDescent="0.3">
      <c r="A193" s="7" t="s">
        <v>190</v>
      </c>
      <c r="B193" s="7" t="s">
        <v>534</v>
      </c>
      <c r="C193" s="3" t="s">
        <v>747</v>
      </c>
      <c r="D193" s="8" t="s">
        <v>1</v>
      </c>
      <c r="E193" s="8" t="s">
        <v>5</v>
      </c>
      <c r="F193" s="6">
        <v>56</v>
      </c>
      <c r="G193" s="2">
        <v>1.675</v>
      </c>
      <c r="H193" s="2">
        <v>2.4634999999999998</v>
      </c>
      <c r="I193" s="2">
        <v>0.86060000000000003</v>
      </c>
      <c r="J193" s="2">
        <v>31.331099999999999</v>
      </c>
      <c r="K193" s="2">
        <v>43.584000000000003</v>
      </c>
      <c r="L193" s="2">
        <v>15.645899999999999</v>
      </c>
      <c r="M193" s="20" t="str">
        <f t="shared" si="8"/>
        <v>47.07</v>
      </c>
      <c r="N193" s="21">
        <f t="shared" si="9"/>
        <v>-0.78849999999999976</v>
      </c>
      <c r="O193" s="21">
        <f t="shared" si="10"/>
        <v>27.938100000000006</v>
      </c>
      <c r="P193" s="21">
        <f t="shared" si="11"/>
        <v>-12.252900000000004</v>
      </c>
    </row>
    <row r="194" spans="1:16" ht="15" customHeight="1" x14ac:dyDescent="0.3">
      <c r="A194" s="7" t="s">
        <v>191</v>
      </c>
      <c r="B194" s="7" t="s">
        <v>534</v>
      </c>
      <c r="C194" s="3" t="s">
        <v>747</v>
      </c>
      <c r="D194" s="8" t="s">
        <v>1</v>
      </c>
      <c r="E194" s="8" t="s">
        <v>5</v>
      </c>
      <c r="F194" s="6">
        <v>56</v>
      </c>
      <c r="G194" s="2">
        <v>9.3126999999999995</v>
      </c>
      <c r="H194" s="2">
        <v>6.4108999999999998</v>
      </c>
      <c r="I194" s="2">
        <v>5.0708000000000002</v>
      </c>
      <c r="J194" s="2">
        <v>206.11410000000001</v>
      </c>
      <c r="K194" s="2">
        <v>126.16</v>
      </c>
      <c r="L194" s="2">
        <v>101.6622</v>
      </c>
      <c r="M194" s="20" t="str">
        <f t="shared" si="8"/>
        <v>-31.16</v>
      </c>
      <c r="N194" s="21">
        <f t="shared" si="9"/>
        <v>2.9017999999999997</v>
      </c>
      <c r="O194" s="21">
        <f t="shared" si="10"/>
        <v>24.497799999999998</v>
      </c>
      <c r="P194" s="21">
        <f t="shared" si="11"/>
        <v>79.954100000000011</v>
      </c>
    </row>
    <row r="195" spans="1:16" ht="15" customHeight="1" x14ac:dyDescent="0.3">
      <c r="A195" s="7" t="s">
        <v>192</v>
      </c>
      <c r="B195" s="7" t="s">
        <v>534</v>
      </c>
      <c r="C195" s="3" t="s">
        <v>747</v>
      </c>
      <c r="D195" s="8" t="s">
        <v>1</v>
      </c>
      <c r="E195" s="8" t="s">
        <v>5</v>
      </c>
      <c r="F195" s="6">
        <v>56</v>
      </c>
      <c r="G195" s="2">
        <v>11.1845</v>
      </c>
      <c r="H195" s="2">
        <v>11.7105</v>
      </c>
      <c r="I195" s="2">
        <v>3.9420000000000002</v>
      </c>
      <c r="J195" s="2">
        <v>216.30410000000001</v>
      </c>
      <c r="K195" s="2">
        <v>238.77709999999999</v>
      </c>
      <c r="L195" s="2">
        <v>77.523899999999998</v>
      </c>
      <c r="M195" s="20" t="str">
        <f t="shared" ref="M195:M258" si="12">IF(OR(G195=0, H195=0), "0.00", TEXT((H195-G195)/G195*100, "0.00"))</f>
        <v>4.70</v>
      </c>
      <c r="N195" s="21">
        <f t="shared" ref="N195:N258" si="13">G195-H195</f>
        <v>-0.5259999999999998</v>
      </c>
      <c r="O195" s="21">
        <f t="shared" ref="O195:O258" si="14">K195-L195</f>
        <v>161.25319999999999</v>
      </c>
      <c r="P195" s="21">
        <f t="shared" ref="P195:P258" si="15">J195-K195</f>
        <v>-22.472999999999985</v>
      </c>
    </row>
    <row r="196" spans="1:16" ht="15" customHeight="1" x14ac:dyDescent="0.3">
      <c r="A196" s="7" t="s">
        <v>193</v>
      </c>
      <c r="B196" s="7" t="s">
        <v>535</v>
      </c>
      <c r="C196" s="3" t="s">
        <v>655</v>
      </c>
      <c r="D196" s="8" t="s">
        <v>1</v>
      </c>
      <c r="E196" s="8" t="s">
        <v>45</v>
      </c>
      <c r="F196" s="6">
        <v>72</v>
      </c>
      <c r="G196" s="2">
        <v>6.6299999999999998E-2</v>
      </c>
      <c r="H196" s="2">
        <v>0.12959999999999999</v>
      </c>
      <c r="I196" s="2">
        <v>7.1499999999999994E-2</v>
      </c>
      <c r="J196" s="2">
        <v>0.504</v>
      </c>
      <c r="K196" s="2">
        <v>0.91539999999999999</v>
      </c>
      <c r="L196" s="2">
        <v>0.52459999999999996</v>
      </c>
      <c r="M196" s="20" t="str">
        <f t="shared" si="12"/>
        <v>95.48</v>
      </c>
      <c r="N196" s="21">
        <f t="shared" si="13"/>
        <v>-6.3299999999999995E-2</v>
      </c>
      <c r="O196" s="21">
        <f t="shared" si="14"/>
        <v>0.39080000000000004</v>
      </c>
      <c r="P196" s="21">
        <f t="shared" si="15"/>
        <v>-0.41139999999999999</v>
      </c>
    </row>
    <row r="197" spans="1:16" ht="15" customHeight="1" x14ac:dyDescent="0.3">
      <c r="A197" s="7" t="s">
        <v>194</v>
      </c>
      <c r="B197" s="7" t="s">
        <v>536</v>
      </c>
      <c r="C197" s="3" t="s">
        <v>656</v>
      </c>
      <c r="D197" s="8" t="s">
        <v>1</v>
      </c>
      <c r="E197" s="8" t="s">
        <v>2</v>
      </c>
      <c r="F197" s="6">
        <v>10</v>
      </c>
      <c r="G197" s="2">
        <v>0.61529999999999996</v>
      </c>
      <c r="H197" s="2">
        <v>0.502</v>
      </c>
      <c r="I197" s="2">
        <v>4.99E-2</v>
      </c>
      <c r="J197" s="2">
        <v>4.0616000000000003</v>
      </c>
      <c r="K197" s="2">
        <v>3.2562000000000002</v>
      </c>
      <c r="L197" s="2">
        <v>0.25269999999999998</v>
      </c>
      <c r="M197" s="20" t="str">
        <f t="shared" si="12"/>
        <v>-18.41</v>
      </c>
      <c r="N197" s="21">
        <f t="shared" si="13"/>
        <v>0.11329999999999996</v>
      </c>
      <c r="O197" s="21">
        <f t="shared" si="14"/>
        <v>3.0035000000000003</v>
      </c>
      <c r="P197" s="21">
        <f t="shared" si="15"/>
        <v>0.80540000000000012</v>
      </c>
    </row>
    <row r="198" spans="1:16" ht="15" customHeight="1" x14ac:dyDescent="0.3">
      <c r="A198" s="7" t="s">
        <v>195</v>
      </c>
      <c r="B198" s="7" t="s">
        <v>536</v>
      </c>
      <c r="C198" s="3" t="s">
        <v>656</v>
      </c>
      <c r="D198" s="8" t="s">
        <v>1</v>
      </c>
      <c r="E198" s="8" t="s">
        <v>2</v>
      </c>
      <c r="F198" s="6">
        <v>240</v>
      </c>
      <c r="G198" s="2">
        <v>18.4224</v>
      </c>
      <c r="H198" s="2">
        <v>21.849599999999999</v>
      </c>
      <c r="I198" s="2">
        <v>15.9329</v>
      </c>
      <c r="J198" s="2">
        <v>154.90440000000001</v>
      </c>
      <c r="K198" s="2">
        <v>191.65379999999999</v>
      </c>
      <c r="L198" s="2">
        <v>151.1</v>
      </c>
      <c r="M198" s="20" t="str">
        <f t="shared" si="12"/>
        <v>18.60</v>
      </c>
      <c r="N198" s="21">
        <f t="shared" si="13"/>
        <v>-3.4271999999999991</v>
      </c>
      <c r="O198" s="21">
        <f t="shared" si="14"/>
        <v>40.553799999999995</v>
      </c>
      <c r="P198" s="21">
        <f t="shared" si="15"/>
        <v>-36.74939999999998</v>
      </c>
    </row>
    <row r="199" spans="1:16" ht="15" customHeight="1" x14ac:dyDescent="0.3">
      <c r="A199" s="7" t="s">
        <v>196</v>
      </c>
      <c r="B199" s="7" t="s">
        <v>536</v>
      </c>
      <c r="C199" s="3" t="s">
        <v>656</v>
      </c>
      <c r="D199" s="8" t="s">
        <v>1</v>
      </c>
      <c r="E199" s="8" t="s">
        <v>2</v>
      </c>
      <c r="F199" s="6">
        <v>28</v>
      </c>
      <c r="G199" s="2">
        <v>1.851</v>
      </c>
      <c r="H199" s="2">
        <v>2.4146999999999998</v>
      </c>
      <c r="I199" s="2">
        <v>0.80920000000000003</v>
      </c>
      <c r="J199" s="2">
        <v>10.083500000000001</v>
      </c>
      <c r="K199" s="2">
        <v>14.928100000000001</v>
      </c>
      <c r="L199" s="2">
        <v>5.5830000000000002</v>
      </c>
      <c r="M199" s="20" t="str">
        <f t="shared" si="12"/>
        <v>30.45</v>
      </c>
      <c r="N199" s="21">
        <f t="shared" si="13"/>
        <v>-0.56369999999999987</v>
      </c>
      <c r="O199" s="21">
        <f t="shared" si="14"/>
        <v>9.3451000000000004</v>
      </c>
      <c r="P199" s="21">
        <f t="shared" si="15"/>
        <v>-4.8445999999999998</v>
      </c>
    </row>
    <row r="200" spans="1:16" ht="15" customHeight="1" x14ac:dyDescent="0.3">
      <c r="A200" s="7" t="s">
        <v>197</v>
      </c>
      <c r="B200" s="7" t="s">
        <v>536</v>
      </c>
      <c r="C200" s="3" t="s">
        <v>656</v>
      </c>
      <c r="D200" s="8" t="s">
        <v>1</v>
      </c>
      <c r="E200" s="8" t="s">
        <v>2</v>
      </c>
      <c r="F200" s="6">
        <v>60</v>
      </c>
      <c r="G200" s="2">
        <v>198.11109999999999</v>
      </c>
      <c r="H200" s="2">
        <v>233.6309</v>
      </c>
      <c r="I200" s="2">
        <v>113.3126</v>
      </c>
      <c r="J200" s="2">
        <v>1569.5084999999999</v>
      </c>
      <c r="K200" s="2">
        <v>2030.1902</v>
      </c>
      <c r="L200" s="2">
        <v>989.67420000000004</v>
      </c>
      <c r="M200" s="20" t="str">
        <f t="shared" si="12"/>
        <v>17.93</v>
      </c>
      <c r="N200" s="21">
        <f t="shared" si="13"/>
        <v>-35.519800000000004</v>
      </c>
      <c r="O200" s="21">
        <f t="shared" si="14"/>
        <v>1040.5160000000001</v>
      </c>
      <c r="P200" s="21">
        <f t="shared" si="15"/>
        <v>-460.68170000000009</v>
      </c>
    </row>
    <row r="201" spans="1:16" ht="15" customHeight="1" x14ac:dyDescent="0.3">
      <c r="A201" s="7" t="s">
        <v>198</v>
      </c>
      <c r="B201" s="7" t="s">
        <v>536</v>
      </c>
      <c r="C201" s="3" t="s">
        <v>656</v>
      </c>
      <c r="D201" s="8" t="s">
        <v>1</v>
      </c>
      <c r="E201" s="8" t="s">
        <v>2</v>
      </c>
      <c r="F201" s="6">
        <v>60</v>
      </c>
      <c r="G201" s="2">
        <v>1.278</v>
      </c>
      <c r="H201" s="2">
        <v>13.6012</v>
      </c>
      <c r="I201" s="2">
        <v>11.1342</v>
      </c>
      <c r="J201" s="2">
        <v>10.3644</v>
      </c>
      <c r="K201" s="2">
        <v>118.5029</v>
      </c>
      <c r="L201" s="2">
        <v>94.131399999999999</v>
      </c>
      <c r="M201" s="20" t="str">
        <f t="shared" si="12"/>
        <v>964.26</v>
      </c>
      <c r="N201" s="21">
        <f t="shared" si="13"/>
        <v>-12.3232</v>
      </c>
      <c r="O201" s="21">
        <f t="shared" si="14"/>
        <v>24.371499999999997</v>
      </c>
      <c r="P201" s="21">
        <f t="shared" si="15"/>
        <v>-108.13849999999999</v>
      </c>
    </row>
    <row r="202" spans="1:16" ht="15" customHeight="1" x14ac:dyDescent="0.3">
      <c r="A202" s="7" t="s">
        <v>596</v>
      </c>
      <c r="B202" s="7" t="s">
        <v>537</v>
      </c>
      <c r="C202" s="3" t="s">
        <v>657</v>
      </c>
      <c r="D202" s="8" t="s">
        <v>1</v>
      </c>
      <c r="E202" s="8" t="s">
        <v>2</v>
      </c>
      <c r="F202" s="6">
        <v>56</v>
      </c>
      <c r="G202" s="2">
        <v>0</v>
      </c>
      <c r="H202" s="2">
        <v>0.2286</v>
      </c>
      <c r="I202" s="2">
        <v>8.4099999999999994E-2</v>
      </c>
      <c r="J202" s="2">
        <v>0</v>
      </c>
      <c r="K202" s="2">
        <v>3.6671999999999998</v>
      </c>
      <c r="L202" s="2">
        <v>1.3489</v>
      </c>
      <c r="M202" s="20" t="str">
        <f t="shared" si="12"/>
        <v>0.00</v>
      </c>
      <c r="N202" s="21">
        <f t="shared" si="13"/>
        <v>-0.2286</v>
      </c>
      <c r="O202" s="21">
        <f t="shared" si="14"/>
        <v>2.3182999999999998</v>
      </c>
      <c r="P202" s="21">
        <f t="shared" si="15"/>
        <v>-3.6671999999999998</v>
      </c>
    </row>
    <row r="203" spans="1:16" ht="15" customHeight="1" x14ac:dyDescent="0.3">
      <c r="A203" s="7" t="s">
        <v>199</v>
      </c>
      <c r="B203" s="7" t="s">
        <v>537</v>
      </c>
      <c r="C203" s="3" t="s">
        <v>658</v>
      </c>
      <c r="D203" s="8" t="s">
        <v>1</v>
      </c>
      <c r="E203" s="8" t="s">
        <v>2</v>
      </c>
      <c r="F203" s="6">
        <v>56</v>
      </c>
      <c r="G203" s="2">
        <v>0</v>
      </c>
      <c r="H203" s="2">
        <v>0.22009999999999999</v>
      </c>
      <c r="I203" s="2">
        <v>0.1012</v>
      </c>
      <c r="J203" s="2">
        <v>0</v>
      </c>
      <c r="K203" s="2">
        <v>3.5211000000000001</v>
      </c>
      <c r="L203" s="2">
        <v>1.6187</v>
      </c>
      <c r="M203" s="20" t="str">
        <f t="shared" si="12"/>
        <v>0.00</v>
      </c>
      <c r="N203" s="21">
        <f t="shared" si="13"/>
        <v>-0.22009999999999999</v>
      </c>
      <c r="O203" s="21">
        <f t="shared" si="14"/>
        <v>1.9024000000000001</v>
      </c>
      <c r="P203" s="21">
        <f t="shared" si="15"/>
        <v>-3.5211000000000001</v>
      </c>
    </row>
    <row r="204" spans="1:16" ht="15" customHeight="1" x14ac:dyDescent="0.3">
      <c r="A204" s="7" t="s">
        <v>200</v>
      </c>
      <c r="B204" s="7" t="s">
        <v>538</v>
      </c>
      <c r="C204" s="3" t="s">
        <v>659</v>
      </c>
      <c r="D204" s="8" t="s">
        <v>1</v>
      </c>
      <c r="E204" s="8" t="s">
        <v>181</v>
      </c>
      <c r="F204" s="6">
        <v>20</v>
      </c>
      <c r="G204" s="2">
        <v>0.3851</v>
      </c>
      <c r="H204" s="2">
        <v>0.10680000000000001</v>
      </c>
      <c r="I204" s="2">
        <v>0</v>
      </c>
      <c r="J204" s="2">
        <v>4.9682000000000004</v>
      </c>
      <c r="K204" s="2">
        <v>1.3105</v>
      </c>
      <c r="L204" s="2">
        <v>0</v>
      </c>
      <c r="M204" s="20" t="str">
        <f t="shared" si="12"/>
        <v>-72.27</v>
      </c>
      <c r="N204" s="21">
        <f t="shared" si="13"/>
        <v>0.27829999999999999</v>
      </c>
      <c r="O204" s="21">
        <f t="shared" si="14"/>
        <v>1.3105</v>
      </c>
      <c r="P204" s="21">
        <f t="shared" si="15"/>
        <v>3.6577000000000002</v>
      </c>
    </row>
    <row r="205" spans="1:16" ht="15" customHeight="1" x14ac:dyDescent="0.3">
      <c r="A205" s="7" t="s">
        <v>201</v>
      </c>
      <c r="B205" s="7" t="s">
        <v>538</v>
      </c>
      <c r="C205" s="3" t="s">
        <v>659</v>
      </c>
      <c r="D205" s="8" t="s">
        <v>1</v>
      </c>
      <c r="E205" s="8" t="s">
        <v>41</v>
      </c>
      <c r="F205" s="6">
        <v>56</v>
      </c>
      <c r="G205" s="2">
        <v>1.0960000000000001</v>
      </c>
      <c r="H205" s="2">
        <v>0.3664</v>
      </c>
      <c r="I205" s="2">
        <v>5.7799999999999997E-2</v>
      </c>
      <c r="J205" s="2">
        <v>13.8332</v>
      </c>
      <c r="K205" s="2">
        <v>3.4159999999999999</v>
      </c>
      <c r="L205" s="2">
        <v>0.48</v>
      </c>
      <c r="M205" s="20" t="str">
        <f t="shared" si="12"/>
        <v>-66.57</v>
      </c>
      <c r="N205" s="21">
        <f t="shared" si="13"/>
        <v>0.72960000000000003</v>
      </c>
      <c r="O205" s="21">
        <f t="shared" si="14"/>
        <v>2.9359999999999999</v>
      </c>
      <c r="P205" s="21">
        <f t="shared" si="15"/>
        <v>10.417199999999999</v>
      </c>
    </row>
    <row r="206" spans="1:16" ht="15" customHeight="1" x14ac:dyDescent="0.3">
      <c r="A206" s="7" t="s">
        <v>202</v>
      </c>
      <c r="B206" s="7" t="s">
        <v>538</v>
      </c>
      <c r="C206" s="3" t="s">
        <v>659</v>
      </c>
      <c r="D206" s="8" t="s">
        <v>1</v>
      </c>
      <c r="E206" s="8" t="s">
        <v>41</v>
      </c>
      <c r="F206" s="6">
        <v>56</v>
      </c>
      <c r="G206" s="2">
        <v>8.1957000000000004</v>
      </c>
      <c r="H206" s="2">
        <v>0.14119999999999999</v>
      </c>
      <c r="I206" s="2">
        <v>1.1000000000000001E-3</v>
      </c>
      <c r="J206" s="2">
        <v>213.62710000000001</v>
      </c>
      <c r="K206" s="2">
        <v>2.6021999999999998</v>
      </c>
      <c r="L206" s="2">
        <v>1.6E-2</v>
      </c>
      <c r="M206" s="20" t="str">
        <f t="shared" si="12"/>
        <v>-98.28</v>
      </c>
      <c r="N206" s="21">
        <f t="shared" si="13"/>
        <v>8.0545000000000009</v>
      </c>
      <c r="O206" s="21">
        <f t="shared" si="14"/>
        <v>2.5861999999999998</v>
      </c>
      <c r="P206" s="21">
        <f t="shared" si="15"/>
        <v>211.0249</v>
      </c>
    </row>
    <row r="207" spans="1:16" ht="15" customHeight="1" x14ac:dyDescent="0.3">
      <c r="A207" s="7" t="s">
        <v>203</v>
      </c>
      <c r="B207" s="7" t="s">
        <v>538</v>
      </c>
      <c r="C207" s="3" t="s">
        <v>659</v>
      </c>
      <c r="D207" s="8" t="s">
        <v>1</v>
      </c>
      <c r="E207" s="8" t="s">
        <v>181</v>
      </c>
      <c r="F207" s="6">
        <v>56</v>
      </c>
      <c r="G207" s="2">
        <v>2.8999999999999998E-3</v>
      </c>
      <c r="H207" s="2">
        <v>0</v>
      </c>
      <c r="I207" s="2">
        <v>0</v>
      </c>
      <c r="J207" s="2">
        <v>0.17960000000000001</v>
      </c>
      <c r="K207" s="2">
        <v>0</v>
      </c>
      <c r="L207" s="2">
        <v>0</v>
      </c>
      <c r="M207" s="20" t="str">
        <f t="shared" si="12"/>
        <v>0.00</v>
      </c>
      <c r="N207" s="21">
        <f t="shared" si="13"/>
        <v>2.8999999999999998E-3</v>
      </c>
      <c r="O207" s="21">
        <f t="shared" si="14"/>
        <v>0</v>
      </c>
      <c r="P207" s="21">
        <f t="shared" si="15"/>
        <v>0.17960000000000001</v>
      </c>
    </row>
    <row r="208" spans="1:16" ht="15" customHeight="1" x14ac:dyDescent="0.3">
      <c r="A208" s="7" t="s">
        <v>204</v>
      </c>
      <c r="B208" s="7" t="s">
        <v>538</v>
      </c>
      <c r="C208" s="3" t="s">
        <v>659</v>
      </c>
      <c r="D208" s="8" t="s">
        <v>1</v>
      </c>
      <c r="E208" s="8" t="s">
        <v>2</v>
      </c>
      <c r="F208" s="6">
        <v>56</v>
      </c>
      <c r="G208" s="2">
        <v>0.22670000000000001</v>
      </c>
      <c r="H208" s="2">
        <v>0</v>
      </c>
      <c r="I208" s="2">
        <v>0</v>
      </c>
      <c r="J208" s="2">
        <v>4.5189000000000004</v>
      </c>
      <c r="K208" s="2">
        <v>0</v>
      </c>
      <c r="L208" s="2">
        <v>0</v>
      </c>
      <c r="M208" s="20" t="str">
        <f t="shared" si="12"/>
        <v>0.00</v>
      </c>
      <c r="N208" s="21">
        <f t="shared" si="13"/>
        <v>0.22670000000000001</v>
      </c>
      <c r="O208" s="21">
        <f t="shared" si="14"/>
        <v>0</v>
      </c>
      <c r="P208" s="21">
        <f t="shared" si="15"/>
        <v>4.5189000000000004</v>
      </c>
    </row>
    <row r="209" spans="1:16" ht="15" customHeight="1" x14ac:dyDescent="0.3">
      <c r="A209" s="7" t="s">
        <v>205</v>
      </c>
      <c r="B209" s="7" t="s">
        <v>538</v>
      </c>
      <c r="C209" s="3" t="s">
        <v>659</v>
      </c>
      <c r="D209" s="8" t="s">
        <v>1</v>
      </c>
      <c r="E209" s="8" t="s">
        <v>181</v>
      </c>
      <c r="F209" s="6">
        <v>72</v>
      </c>
      <c r="G209" s="2">
        <v>24.499500000000001</v>
      </c>
      <c r="H209" s="2">
        <v>1.3658999999999999</v>
      </c>
      <c r="I209" s="2">
        <v>5.9999999999999995E-4</v>
      </c>
      <c r="J209" s="2">
        <v>789.96360000000004</v>
      </c>
      <c r="K209" s="2">
        <v>36.531500000000001</v>
      </c>
      <c r="L209" s="2">
        <v>2.06E-2</v>
      </c>
      <c r="M209" s="20" t="str">
        <f t="shared" si="12"/>
        <v>-94.42</v>
      </c>
      <c r="N209" s="21">
        <f t="shared" si="13"/>
        <v>23.133600000000001</v>
      </c>
      <c r="O209" s="21">
        <f t="shared" si="14"/>
        <v>36.510899999999999</v>
      </c>
      <c r="P209" s="21">
        <f t="shared" si="15"/>
        <v>753.43209999999999</v>
      </c>
    </row>
    <row r="210" spans="1:16" ht="15" customHeight="1" x14ac:dyDescent="0.3">
      <c r="A210" s="7" t="s">
        <v>206</v>
      </c>
      <c r="B210" s="7" t="s">
        <v>538</v>
      </c>
      <c r="C210" s="3" t="s">
        <v>659</v>
      </c>
      <c r="D210" s="8" t="s">
        <v>1</v>
      </c>
      <c r="E210" s="8" t="s">
        <v>41</v>
      </c>
      <c r="F210" s="6">
        <v>72</v>
      </c>
      <c r="G210" s="2">
        <v>0</v>
      </c>
      <c r="H210" s="2">
        <v>2.8000000000000001E-2</v>
      </c>
      <c r="I210" s="2">
        <v>0</v>
      </c>
      <c r="J210" s="2">
        <v>0</v>
      </c>
      <c r="K210" s="2">
        <v>0.80640000000000001</v>
      </c>
      <c r="L210" s="2">
        <v>0</v>
      </c>
      <c r="M210" s="20" t="str">
        <f t="shared" si="12"/>
        <v>0.00</v>
      </c>
      <c r="N210" s="21">
        <f t="shared" si="13"/>
        <v>-2.8000000000000001E-2</v>
      </c>
      <c r="O210" s="21">
        <f t="shared" si="14"/>
        <v>0.80640000000000001</v>
      </c>
      <c r="P210" s="21">
        <f t="shared" si="15"/>
        <v>-0.80640000000000001</v>
      </c>
    </row>
    <row r="211" spans="1:16" ht="15" customHeight="1" x14ac:dyDescent="0.3">
      <c r="A211" s="7" t="s">
        <v>207</v>
      </c>
      <c r="B211" s="7" t="s">
        <v>539</v>
      </c>
      <c r="C211" s="3" t="s">
        <v>660</v>
      </c>
      <c r="D211" s="8" t="s">
        <v>1</v>
      </c>
      <c r="E211" s="8" t="s">
        <v>5</v>
      </c>
      <c r="F211" s="6">
        <v>72</v>
      </c>
      <c r="G211" s="2">
        <v>0</v>
      </c>
      <c r="H211" s="2">
        <v>10.2052</v>
      </c>
      <c r="I211" s="2">
        <v>14.4321</v>
      </c>
      <c r="J211" s="2">
        <v>0</v>
      </c>
      <c r="K211" s="2">
        <v>569.2527</v>
      </c>
      <c r="L211" s="2">
        <v>716.4248</v>
      </c>
      <c r="M211" s="20" t="str">
        <f t="shared" si="12"/>
        <v>0.00</v>
      </c>
      <c r="N211" s="21">
        <f t="shared" si="13"/>
        <v>-10.2052</v>
      </c>
      <c r="O211" s="21">
        <f t="shared" si="14"/>
        <v>-147.1721</v>
      </c>
      <c r="P211" s="21">
        <f t="shared" si="15"/>
        <v>-569.2527</v>
      </c>
    </row>
    <row r="212" spans="1:16" ht="15" customHeight="1" x14ac:dyDescent="0.3">
      <c r="A212" s="7" t="s">
        <v>208</v>
      </c>
      <c r="B212" s="7" t="s">
        <v>540</v>
      </c>
      <c r="C212" s="3" t="s">
        <v>661</v>
      </c>
      <c r="D212" s="8" t="s">
        <v>1</v>
      </c>
      <c r="E212" s="8" t="s">
        <v>2</v>
      </c>
      <c r="F212" s="6">
        <v>15</v>
      </c>
      <c r="G212" s="2">
        <v>1.1900000000000001E-2</v>
      </c>
      <c r="H212" s="2">
        <v>0</v>
      </c>
      <c r="I212" s="2">
        <v>0</v>
      </c>
      <c r="J212" s="2">
        <v>0.14000000000000001</v>
      </c>
      <c r="K212" s="2">
        <v>0</v>
      </c>
      <c r="L212" s="2">
        <v>0</v>
      </c>
      <c r="M212" s="20" t="str">
        <f t="shared" si="12"/>
        <v>0.00</v>
      </c>
      <c r="N212" s="21">
        <f t="shared" si="13"/>
        <v>1.1900000000000001E-2</v>
      </c>
      <c r="O212" s="21">
        <f t="shared" si="14"/>
        <v>0</v>
      </c>
      <c r="P212" s="21">
        <f t="shared" si="15"/>
        <v>0.14000000000000001</v>
      </c>
    </row>
    <row r="213" spans="1:16" ht="15" customHeight="1" x14ac:dyDescent="0.3">
      <c r="A213" s="7" t="s">
        <v>209</v>
      </c>
      <c r="B213" s="7" t="s">
        <v>541</v>
      </c>
      <c r="C213" s="3" t="s">
        <v>748</v>
      </c>
      <c r="D213" s="8" t="s">
        <v>1</v>
      </c>
      <c r="E213" s="8" t="s">
        <v>5</v>
      </c>
      <c r="F213" s="6">
        <v>40</v>
      </c>
      <c r="G213" s="2">
        <v>0</v>
      </c>
      <c r="H213" s="2">
        <v>0</v>
      </c>
      <c r="I213" s="2">
        <v>0.69599999999999995</v>
      </c>
      <c r="J213" s="2">
        <v>0</v>
      </c>
      <c r="K213" s="2">
        <v>0</v>
      </c>
      <c r="L213" s="2">
        <v>11.551500000000001</v>
      </c>
      <c r="M213" s="20" t="str">
        <f t="shared" si="12"/>
        <v>0.00</v>
      </c>
      <c r="N213" s="21">
        <f t="shared" si="13"/>
        <v>0</v>
      </c>
      <c r="O213" s="21">
        <f t="shared" si="14"/>
        <v>-11.551500000000001</v>
      </c>
      <c r="P213" s="21">
        <f t="shared" si="15"/>
        <v>0</v>
      </c>
    </row>
    <row r="214" spans="1:16" ht="15" customHeight="1" x14ac:dyDescent="0.3">
      <c r="A214" s="7" t="s">
        <v>210</v>
      </c>
      <c r="B214" s="7" t="s">
        <v>541</v>
      </c>
      <c r="C214" s="3" t="s">
        <v>748</v>
      </c>
      <c r="D214" s="8" t="s">
        <v>1</v>
      </c>
      <c r="E214" s="8" t="s">
        <v>5</v>
      </c>
      <c r="F214" s="6">
        <v>90</v>
      </c>
      <c r="G214" s="2">
        <v>0.33289999999999997</v>
      </c>
      <c r="H214" s="2">
        <v>2.7199999999999998E-2</v>
      </c>
      <c r="I214" s="2">
        <v>0.74419999999999997</v>
      </c>
      <c r="J214" s="2">
        <v>16.585699999999999</v>
      </c>
      <c r="K214" s="2">
        <v>2.2242999999999999</v>
      </c>
      <c r="L214" s="2">
        <v>24.0091</v>
      </c>
      <c r="M214" s="20" t="str">
        <f t="shared" si="12"/>
        <v>-91.83</v>
      </c>
      <c r="N214" s="21">
        <f t="shared" si="13"/>
        <v>0.30569999999999997</v>
      </c>
      <c r="O214" s="21">
        <f t="shared" si="14"/>
        <v>-21.784800000000001</v>
      </c>
      <c r="P214" s="21">
        <f t="shared" si="15"/>
        <v>14.3614</v>
      </c>
    </row>
    <row r="215" spans="1:16" ht="15" customHeight="1" x14ac:dyDescent="0.3">
      <c r="A215" s="7" t="s">
        <v>211</v>
      </c>
      <c r="B215" s="7" t="s">
        <v>542</v>
      </c>
      <c r="C215" s="3" t="s">
        <v>749</v>
      </c>
      <c r="D215" s="8" t="s">
        <v>1</v>
      </c>
      <c r="E215" s="8" t="s">
        <v>5</v>
      </c>
      <c r="F215" s="6">
        <v>120</v>
      </c>
      <c r="G215" s="2">
        <v>0</v>
      </c>
      <c r="H215" s="2">
        <v>3.2099999999999997E-2</v>
      </c>
      <c r="I215" s="2">
        <v>0.19070000000000001</v>
      </c>
      <c r="J215" s="2">
        <v>0</v>
      </c>
      <c r="K215" s="2">
        <v>1.7567999999999999</v>
      </c>
      <c r="L215" s="2">
        <v>7.8956</v>
      </c>
      <c r="M215" s="20" t="str">
        <f t="shared" si="12"/>
        <v>0.00</v>
      </c>
      <c r="N215" s="21">
        <f t="shared" si="13"/>
        <v>-3.2099999999999997E-2</v>
      </c>
      <c r="O215" s="21">
        <f t="shared" si="14"/>
        <v>-6.1387999999999998</v>
      </c>
      <c r="P215" s="21">
        <f t="shared" si="15"/>
        <v>-1.7567999999999999</v>
      </c>
    </row>
    <row r="216" spans="1:16" ht="15" customHeight="1" x14ac:dyDescent="0.3">
      <c r="A216" s="7" t="s">
        <v>212</v>
      </c>
      <c r="B216" s="7" t="s">
        <v>542</v>
      </c>
      <c r="C216" s="3" t="s">
        <v>749</v>
      </c>
      <c r="D216" s="8" t="s">
        <v>1</v>
      </c>
      <c r="E216" s="8" t="s">
        <v>12</v>
      </c>
      <c r="F216" s="6">
        <v>70</v>
      </c>
      <c r="G216" s="2">
        <v>0</v>
      </c>
      <c r="H216" s="2">
        <v>0</v>
      </c>
      <c r="I216" s="2">
        <v>2.2185000000000001</v>
      </c>
      <c r="J216" s="2">
        <v>0</v>
      </c>
      <c r="K216" s="2">
        <v>0</v>
      </c>
      <c r="L216" s="2">
        <v>128.51750000000001</v>
      </c>
      <c r="M216" s="20" t="str">
        <f t="shared" si="12"/>
        <v>0.00</v>
      </c>
      <c r="N216" s="21">
        <f t="shared" si="13"/>
        <v>0</v>
      </c>
      <c r="O216" s="21">
        <f t="shared" si="14"/>
        <v>-128.51750000000001</v>
      </c>
      <c r="P216" s="21">
        <f t="shared" si="15"/>
        <v>0</v>
      </c>
    </row>
    <row r="217" spans="1:16" ht="15" customHeight="1" x14ac:dyDescent="0.3">
      <c r="A217" s="7" t="s">
        <v>213</v>
      </c>
      <c r="B217" s="7" t="s">
        <v>542</v>
      </c>
      <c r="C217" s="3" t="s">
        <v>749</v>
      </c>
      <c r="D217" s="8" t="s">
        <v>1</v>
      </c>
      <c r="E217" s="8" t="s">
        <v>5</v>
      </c>
      <c r="F217" s="6">
        <v>70</v>
      </c>
      <c r="G217" s="2">
        <v>0</v>
      </c>
      <c r="H217" s="2">
        <v>7.0191999999999997</v>
      </c>
      <c r="I217" s="2">
        <v>7.8216999999999999</v>
      </c>
      <c r="J217" s="2">
        <v>0</v>
      </c>
      <c r="K217" s="2">
        <v>471.142</v>
      </c>
      <c r="L217" s="2">
        <v>503.7824</v>
      </c>
      <c r="M217" s="20" t="str">
        <f t="shared" si="12"/>
        <v>0.00</v>
      </c>
      <c r="N217" s="21">
        <f t="shared" si="13"/>
        <v>-7.0191999999999997</v>
      </c>
      <c r="O217" s="21">
        <f t="shared" si="14"/>
        <v>-32.6404</v>
      </c>
      <c r="P217" s="21">
        <f t="shared" si="15"/>
        <v>-471.142</v>
      </c>
    </row>
    <row r="218" spans="1:16" ht="15" customHeight="1" x14ac:dyDescent="0.3">
      <c r="A218" s="7" t="s">
        <v>214</v>
      </c>
      <c r="B218" s="7" t="s">
        <v>542</v>
      </c>
      <c r="C218" s="3" t="s">
        <v>749</v>
      </c>
      <c r="D218" s="8" t="s">
        <v>1</v>
      </c>
      <c r="E218" s="8" t="s">
        <v>5</v>
      </c>
      <c r="F218" s="6">
        <v>72</v>
      </c>
      <c r="G218" s="2">
        <v>8.5007999999999999</v>
      </c>
      <c r="H218" s="2">
        <v>1.8512999999999999</v>
      </c>
      <c r="I218" s="2">
        <v>0.35020000000000001</v>
      </c>
      <c r="J218" s="2">
        <v>288.41750000000002</v>
      </c>
      <c r="K218" s="2">
        <v>66.691299999999998</v>
      </c>
      <c r="L218" s="2">
        <v>13.4161</v>
      </c>
      <c r="M218" s="20" t="str">
        <f t="shared" si="12"/>
        <v>-78.22</v>
      </c>
      <c r="N218" s="21">
        <f t="shared" si="13"/>
        <v>6.6494999999999997</v>
      </c>
      <c r="O218" s="21">
        <f t="shared" si="14"/>
        <v>53.275199999999998</v>
      </c>
      <c r="P218" s="21">
        <f t="shared" si="15"/>
        <v>221.72620000000001</v>
      </c>
    </row>
    <row r="219" spans="1:16" ht="15" customHeight="1" x14ac:dyDescent="0.3">
      <c r="A219" s="7" t="s">
        <v>215</v>
      </c>
      <c r="B219" s="7" t="s">
        <v>542</v>
      </c>
      <c r="C219" s="3" t="s">
        <v>749</v>
      </c>
      <c r="D219" s="8" t="s">
        <v>1</v>
      </c>
      <c r="E219" s="8" t="s">
        <v>5</v>
      </c>
      <c r="F219" s="6">
        <v>72</v>
      </c>
      <c r="G219" s="2">
        <v>32.951099999999997</v>
      </c>
      <c r="H219" s="2">
        <v>14.947100000000001</v>
      </c>
      <c r="I219" s="2">
        <v>4.2103999999999999</v>
      </c>
      <c r="J219" s="2">
        <v>1259.2874999999999</v>
      </c>
      <c r="K219" s="2">
        <v>556.85670000000005</v>
      </c>
      <c r="L219" s="2">
        <v>163.69149999999999</v>
      </c>
      <c r="M219" s="20" t="str">
        <f t="shared" si="12"/>
        <v>-54.64</v>
      </c>
      <c r="N219" s="21">
        <f t="shared" si="13"/>
        <v>18.003999999999998</v>
      </c>
      <c r="O219" s="21">
        <f t="shared" si="14"/>
        <v>393.16520000000003</v>
      </c>
      <c r="P219" s="21">
        <f t="shared" si="15"/>
        <v>702.43079999999986</v>
      </c>
    </row>
    <row r="220" spans="1:16" ht="15" customHeight="1" x14ac:dyDescent="0.3">
      <c r="A220" s="7" t="s">
        <v>216</v>
      </c>
      <c r="B220" s="7" t="s">
        <v>543</v>
      </c>
      <c r="C220" s="3" t="s">
        <v>662</v>
      </c>
      <c r="D220" s="8" t="s">
        <v>1</v>
      </c>
      <c r="E220" s="8" t="s">
        <v>12</v>
      </c>
      <c r="F220" s="6">
        <v>56</v>
      </c>
      <c r="G220" s="2">
        <v>53.822000000000003</v>
      </c>
      <c r="H220" s="2">
        <v>66.983199999999997</v>
      </c>
      <c r="I220" s="2">
        <v>42.143000000000001</v>
      </c>
      <c r="J220" s="2">
        <v>1325.5655999999999</v>
      </c>
      <c r="K220" s="2">
        <v>1594.76</v>
      </c>
      <c r="L220" s="2">
        <v>1015.3249</v>
      </c>
      <c r="M220" s="20" t="str">
        <f t="shared" si="12"/>
        <v>24.45</v>
      </c>
      <c r="N220" s="21">
        <f t="shared" si="13"/>
        <v>-13.161199999999994</v>
      </c>
      <c r="O220" s="21">
        <f t="shared" si="14"/>
        <v>579.43510000000003</v>
      </c>
      <c r="P220" s="21">
        <f t="shared" si="15"/>
        <v>-269.19440000000009</v>
      </c>
    </row>
    <row r="221" spans="1:16" ht="15" customHeight="1" x14ac:dyDescent="0.3">
      <c r="A221" s="7" t="s">
        <v>217</v>
      </c>
      <c r="B221" s="7" t="s">
        <v>543</v>
      </c>
      <c r="C221" s="3" t="s">
        <v>662</v>
      </c>
      <c r="D221" s="8" t="s">
        <v>1</v>
      </c>
      <c r="E221" s="8" t="s">
        <v>12</v>
      </c>
      <c r="F221" s="6">
        <v>56</v>
      </c>
      <c r="G221" s="2">
        <v>81.760300000000001</v>
      </c>
      <c r="H221" s="2">
        <v>83.135000000000005</v>
      </c>
      <c r="I221" s="2">
        <v>53.412599999999998</v>
      </c>
      <c r="J221" s="2">
        <v>1959.0420999999999</v>
      </c>
      <c r="K221" s="2">
        <v>1973.6881000000001</v>
      </c>
      <c r="L221" s="2">
        <v>1284.8007</v>
      </c>
      <c r="M221" s="20" t="str">
        <f t="shared" si="12"/>
        <v>1.68</v>
      </c>
      <c r="N221" s="21">
        <f t="shared" si="13"/>
        <v>-1.3747000000000043</v>
      </c>
      <c r="O221" s="21">
        <f t="shared" si="14"/>
        <v>688.88740000000007</v>
      </c>
      <c r="P221" s="21">
        <f t="shared" si="15"/>
        <v>-14.646000000000186</v>
      </c>
    </row>
    <row r="222" spans="1:16" ht="15" customHeight="1" x14ac:dyDescent="0.3">
      <c r="A222" s="7" t="s">
        <v>218</v>
      </c>
      <c r="B222" s="7" t="s">
        <v>543</v>
      </c>
      <c r="C222" s="3" t="s">
        <v>662</v>
      </c>
      <c r="D222" s="8" t="s">
        <v>1</v>
      </c>
      <c r="E222" s="8" t="s">
        <v>12</v>
      </c>
      <c r="F222" s="6">
        <v>56</v>
      </c>
      <c r="G222" s="2">
        <v>24.3629</v>
      </c>
      <c r="H222" s="2">
        <v>18.871200000000002</v>
      </c>
      <c r="I222" s="2">
        <v>0.95489999999999997</v>
      </c>
      <c r="J222" s="2">
        <v>571.42309999999998</v>
      </c>
      <c r="K222" s="2">
        <v>430.0342</v>
      </c>
      <c r="L222" s="2">
        <v>21.356300000000001</v>
      </c>
      <c r="M222" s="20" t="str">
        <f t="shared" si="12"/>
        <v>-22.54</v>
      </c>
      <c r="N222" s="21">
        <f t="shared" si="13"/>
        <v>5.491699999999998</v>
      </c>
      <c r="O222" s="21">
        <f t="shared" si="14"/>
        <v>408.67790000000002</v>
      </c>
      <c r="P222" s="21">
        <f t="shared" si="15"/>
        <v>141.38889999999998</v>
      </c>
    </row>
    <row r="223" spans="1:16" ht="15" customHeight="1" x14ac:dyDescent="0.3">
      <c r="A223" s="7" t="s">
        <v>219</v>
      </c>
      <c r="B223" s="7" t="s">
        <v>543</v>
      </c>
      <c r="C223" s="3" t="s">
        <v>662</v>
      </c>
      <c r="D223" s="8" t="s">
        <v>1</v>
      </c>
      <c r="E223" s="8" t="s">
        <v>2</v>
      </c>
      <c r="F223" s="6">
        <v>56</v>
      </c>
      <c r="G223" s="2">
        <v>6.2572999999999999</v>
      </c>
      <c r="H223" s="2">
        <v>18.031600000000001</v>
      </c>
      <c r="I223" s="2">
        <v>4.2451999999999996</v>
      </c>
      <c r="J223" s="2">
        <v>140.29249999999999</v>
      </c>
      <c r="K223" s="2">
        <v>398.21929999999998</v>
      </c>
      <c r="L223" s="2">
        <v>95.220100000000002</v>
      </c>
      <c r="M223" s="20" t="str">
        <f t="shared" si="12"/>
        <v>188.17</v>
      </c>
      <c r="N223" s="21">
        <f t="shared" si="13"/>
        <v>-11.7743</v>
      </c>
      <c r="O223" s="21">
        <f t="shared" si="14"/>
        <v>302.99919999999997</v>
      </c>
      <c r="P223" s="21">
        <f t="shared" si="15"/>
        <v>-257.92679999999996</v>
      </c>
    </row>
    <row r="224" spans="1:16" ht="15" customHeight="1" x14ac:dyDescent="0.3">
      <c r="A224" s="7" t="s">
        <v>220</v>
      </c>
      <c r="B224" s="7" t="s">
        <v>543</v>
      </c>
      <c r="C224" s="3" t="s">
        <v>662</v>
      </c>
      <c r="D224" s="8" t="s">
        <v>1</v>
      </c>
      <c r="E224" s="8" t="s">
        <v>5</v>
      </c>
      <c r="F224" s="6">
        <v>64</v>
      </c>
      <c r="G224" s="2">
        <v>0</v>
      </c>
      <c r="H224" s="2">
        <v>0</v>
      </c>
      <c r="I224" s="2">
        <v>0.16520000000000001</v>
      </c>
      <c r="J224" s="2">
        <v>0</v>
      </c>
      <c r="K224" s="2">
        <v>0</v>
      </c>
      <c r="L224" s="2">
        <v>4.4053000000000004</v>
      </c>
      <c r="M224" s="20" t="str">
        <f t="shared" si="12"/>
        <v>0.00</v>
      </c>
      <c r="N224" s="21">
        <f t="shared" si="13"/>
        <v>0</v>
      </c>
      <c r="O224" s="21">
        <f t="shared" si="14"/>
        <v>-4.4053000000000004</v>
      </c>
      <c r="P224" s="21">
        <f t="shared" si="15"/>
        <v>0</v>
      </c>
    </row>
    <row r="225" spans="1:16" ht="15" customHeight="1" x14ac:dyDescent="0.3">
      <c r="A225" s="7" t="s">
        <v>221</v>
      </c>
      <c r="B225" s="7" t="s">
        <v>543</v>
      </c>
      <c r="C225" s="3" t="s">
        <v>662</v>
      </c>
      <c r="D225" s="8" t="s">
        <v>1</v>
      </c>
      <c r="E225" s="8" t="s">
        <v>2</v>
      </c>
      <c r="F225" s="6">
        <v>64</v>
      </c>
      <c r="G225" s="2">
        <v>2.9600000000000001E-2</v>
      </c>
      <c r="H225" s="2">
        <v>0</v>
      </c>
      <c r="I225" s="2">
        <v>0</v>
      </c>
      <c r="J225" s="2">
        <v>0.8246</v>
      </c>
      <c r="K225" s="2">
        <v>0</v>
      </c>
      <c r="L225" s="2">
        <v>0</v>
      </c>
      <c r="M225" s="20" t="str">
        <f t="shared" si="12"/>
        <v>0.00</v>
      </c>
      <c r="N225" s="21">
        <f t="shared" si="13"/>
        <v>2.9600000000000001E-2</v>
      </c>
      <c r="O225" s="21">
        <f t="shared" si="14"/>
        <v>0</v>
      </c>
      <c r="P225" s="21">
        <f t="shared" si="15"/>
        <v>0.8246</v>
      </c>
    </row>
    <row r="226" spans="1:16" ht="15" customHeight="1" x14ac:dyDescent="0.3">
      <c r="A226" s="7" t="s">
        <v>222</v>
      </c>
      <c r="B226" s="7" t="s">
        <v>543</v>
      </c>
      <c r="C226" s="3" t="s">
        <v>662</v>
      </c>
      <c r="D226" s="8" t="s">
        <v>1</v>
      </c>
      <c r="E226" s="8" t="s">
        <v>2</v>
      </c>
      <c r="F226" s="6">
        <v>72</v>
      </c>
      <c r="G226" s="2">
        <v>2.3472</v>
      </c>
      <c r="H226" s="2">
        <v>0.8044</v>
      </c>
      <c r="I226" s="2">
        <v>0</v>
      </c>
      <c r="J226" s="2">
        <v>54.641800000000003</v>
      </c>
      <c r="K226" s="2">
        <v>24.183599999999998</v>
      </c>
      <c r="L226" s="2">
        <v>0</v>
      </c>
      <c r="M226" s="20" t="str">
        <f t="shared" si="12"/>
        <v>-65.73</v>
      </c>
      <c r="N226" s="21">
        <f t="shared" si="13"/>
        <v>1.5427999999999999</v>
      </c>
      <c r="O226" s="21">
        <f t="shared" si="14"/>
        <v>24.183599999999998</v>
      </c>
      <c r="P226" s="21">
        <f t="shared" si="15"/>
        <v>30.458200000000005</v>
      </c>
    </row>
    <row r="227" spans="1:16" ht="15" customHeight="1" x14ac:dyDescent="0.3">
      <c r="A227" s="7" t="s">
        <v>223</v>
      </c>
      <c r="B227" s="7" t="s">
        <v>544</v>
      </c>
      <c r="C227" s="3" t="s">
        <v>663</v>
      </c>
      <c r="D227" s="8" t="s">
        <v>1</v>
      </c>
      <c r="E227" s="8" t="s">
        <v>12</v>
      </c>
      <c r="F227" s="6">
        <v>70</v>
      </c>
      <c r="G227" s="2">
        <v>5.9740000000000002</v>
      </c>
      <c r="H227" s="2">
        <v>0</v>
      </c>
      <c r="I227" s="2">
        <v>0</v>
      </c>
      <c r="J227" s="2">
        <v>416.80889999999999</v>
      </c>
      <c r="K227" s="2">
        <v>0</v>
      </c>
      <c r="L227" s="2">
        <v>0</v>
      </c>
      <c r="M227" s="20" t="str">
        <f t="shared" si="12"/>
        <v>0.00</v>
      </c>
      <c r="N227" s="21">
        <f t="shared" si="13"/>
        <v>5.9740000000000002</v>
      </c>
      <c r="O227" s="21">
        <f t="shared" si="14"/>
        <v>0</v>
      </c>
      <c r="P227" s="21">
        <f t="shared" si="15"/>
        <v>416.80889999999999</v>
      </c>
    </row>
    <row r="228" spans="1:16" ht="15" customHeight="1" x14ac:dyDescent="0.3">
      <c r="A228" s="7" t="s">
        <v>224</v>
      </c>
      <c r="B228" s="7" t="s">
        <v>544</v>
      </c>
      <c r="C228" s="3" t="s">
        <v>663</v>
      </c>
      <c r="D228" s="8" t="s">
        <v>1</v>
      </c>
      <c r="E228" s="8" t="s">
        <v>5</v>
      </c>
      <c r="F228" s="6">
        <v>80</v>
      </c>
      <c r="G228" s="2">
        <v>0.1293</v>
      </c>
      <c r="H228" s="2">
        <v>8.2299999999999998E-2</v>
      </c>
      <c r="I228" s="2">
        <v>0</v>
      </c>
      <c r="J228" s="2">
        <v>5.4459999999999997</v>
      </c>
      <c r="K228" s="2">
        <v>3.4649000000000001</v>
      </c>
      <c r="L228" s="2">
        <v>0</v>
      </c>
      <c r="M228" s="20" t="str">
        <f t="shared" si="12"/>
        <v>-36.35</v>
      </c>
      <c r="N228" s="21">
        <f t="shared" si="13"/>
        <v>4.7E-2</v>
      </c>
      <c r="O228" s="21">
        <f t="shared" si="14"/>
        <v>3.4649000000000001</v>
      </c>
      <c r="P228" s="21">
        <f t="shared" si="15"/>
        <v>1.9810999999999996</v>
      </c>
    </row>
    <row r="229" spans="1:16" ht="15" customHeight="1" x14ac:dyDescent="0.3">
      <c r="A229" s="7" t="s">
        <v>225</v>
      </c>
      <c r="B229" s="7" t="s">
        <v>545</v>
      </c>
      <c r="C229" s="3" t="s">
        <v>664</v>
      </c>
      <c r="D229" s="8" t="s">
        <v>1</v>
      </c>
      <c r="E229" s="8" t="s">
        <v>12</v>
      </c>
      <c r="F229" s="6">
        <v>72</v>
      </c>
      <c r="G229" s="2">
        <v>11.181699999999999</v>
      </c>
      <c r="H229" s="2">
        <v>15.1816</v>
      </c>
      <c r="I229" s="2">
        <v>9.6165000000000003</v>
      </c>
      <c r="J229" s="2">
        <v>586.38080000000002</v>
      </c>
      <c r="K229" s="2">
        <v>752.94479999999999</v>
      </c>
      <c r="L229" s="2">
        <v>438.76389999999998</v>
      </c>
      <c r="M229" s="20" t="str">
        <f t="shared" si="12"/>
        <v>35.77</v>
      </c>
      <c r="N229" s="21">
        <f t="shared" si="13"/>
        <v>-3.9999000000000002</v>
      </c>
      <c r="O229" s="21">
        <f t="shared" si="14"/>
        <v>314.18090000000001</v>
      </c>
      <c r="P229" s="21">
        <f t="shared" si="15"/>
        <v>-166.56399999999996</v>
      </c>
    </row>
    <row r="230" spans="1:16" ht="15" customHeight="1" x14ac:dyDescent="0.3">
      <c r="A230" s="7" t="s">
        <v>226</v>
      </c>
      <c r="B230" s="7" t="s">
        <v>546</v>
      </c>
      <c r="C230" s="3" t="s">
        <v>665</v>
      </c>
      <c r="D230" s="8" t="s">
        <v>1</v>
      </c>
      <c r="E230" s="8" t="s">
        <v>45</v>
      </c>
      <c r="F230" s="6">
        <v>25</v>
      </c>
      <c r="G230" s="2">
        <v>8.2699999999999996E-2</v>
      </c>
      <c r="H230" s="2">
        <v>4.5199999999999997E-2</v>
      </c>
      <c r="I230" s="2">
        <v>5.4999999999999997E-3</v>
      </c>
      <c r="J230" s="2">
        <v>0.35360000000000003</v>
      </c>
      <c r="K230" s="2">
        <v>0.2</v>
      </c>
      <c r="L230" s="2">
        <v>2.5000000000000001E-2</v>
      </c>
      <c r="M230" s="20" t="str">
        <f t="shared" si="12"/>
        <v>-45.34</v>
      </c>
      <c r="N230" s="21">
        <f t="shared" si="13"/>
        <v>3.7499999999999999E-2</v>
      </c>
      <c r="O230" s="21">
        <f t="shared" si="14"/>
        <v>0.17500000000000002</v>
      </c>
      <c r="P230" s="21">
        <f t="shared" si="15"/>
        <v>0.15360000000000001</v>
      </c>
    </row>
    <row r="231" spans="1:16" ht="15" customHeight="1" x14ac:dyDescent="0.3">
      <c r="A231" s="7" t="s">
        <v>227</v>
      </c>
      <c r="B231" s="7" t="s">
        <v>546</v>
      </c>
      <c r="C231" s="3" t="s">
        <v>665</v>
      </c>
      <c r="D231" s="8" t="s">
        <v>1</v>
      </c>
      <c r="E231" s="8" t="s">
        <v>45</v>
      </c>
      <c r="F231" s="6">
        <v>25</v>
      </c>
      <c r="G231" s="2">
        <v>2.0510000000000002</v>
      </c>
      <c r="H231" s="2">
        <v>2.5941999999999998</v>
      </c>
      <c r="I231" s="2">
        <v>0.76219999999999999</v>
      </c>
      <c r="J231" s="2">
        <v>8.6088000000000005</v>
      </c>
      <c r="K231" s="2">
        <v>11.446400000000001</v>
      </c>
      <c r="L231" s="2">
        <v>3.6349999999999998</v>
      </c>
      <c r="M231" s="20" t="str">
        <f t="shared" si="12"/>
        <v>26.48</v>
      </c>
      <c r="N231" s="21">
        <f t="shared" si="13"/>
        <v>-0.54319999999999968</v>
      </c>
      <c r="O231" s="21">
        <f t="shared" si="14"/>
        <v>7.8114000000000008</v>
      </c>
      <c r="P231" s="21">
        <f t="shared" si="15"/>
        <v>-2.8376000000000001</v>
      </c>
    </row>
    <row r="232" spans="1:16" ht="15" customHeight="1" x14ac:dyDescent="0.3">
      <c r="A232" s="7" t="s">
        <v>228</v>
      </c>
      <c r="B232" s="7" t="s">
        <v>546</v>
      </c>
      <c r="C232" s="3" t="s">
        <v>665</v>
      </c>
      <c r="D232" s="8" t="s">
        <v>1</v>
      </c>
      <c r="E232" s="8" t="s">
        <v>45</v>
      </c>
      <c r="F232" s="6">
        <v>50</v>
      </c>
      <c r="G232" s="2">
        <v>10.297499999999999</v>
      </c>
      <c r="H232" s="2">
        <v>4.8240999999999996</v>
      </c>
      <c r="I232" s="2">
        <v>4.976</v>
      </c>
      <c r="J232" s="2">
        <v>49.665700000000001</v>
      </c>
      <c r="K232" s="2">
        <v>27.7622</v>
      </c>
      <c r="L232" s="2">
        <v>22.308599999999998</v>
      </c>
      <c r="M232" s="20" t="str">
        <f t="shared" si="12"/>
        <v>-53.15</v>
      </c>
      <c r="N232" s="21">
        <f t="shared" si="13"/>
        <v>5.4733999999999998</v>
      </c>
      <c r="O232" s="21">
        <f t="shared" si="14"/>
        <v>5.4536000000000016</v>
      </c>
      <c r="P232" s="21">
        <f t="shared" si="15"/>
        <v>21.903500000000001</v>
      </c>
    </row>
    <row r="233" spans="1:16" ht="15" customHeight="1" x14ac:dyDescent="0.3">
      <c r="A233" s="7" t="s">
        <v>229</v>
      </c>
      <c r="B233" s="7" t="s">
        <v>546</v>
      </c>
      <c r="C233" s="3" t="s">
        <v>665</v>
      </c>
      <c r="D233" s="8" t="s">
        <v>1</v>
      </c>
      <c r="E233" s="8" t="s">
        <v>45</v>
      </c>
      <c r="F233" s="6">
        <v>50</v>
      </c>
      <c r="G233" s="2">
        <v>0.2089</v>
      </c>
      <c r="H233" s="2">
        <v>0</v>
      </c>
      <c r="I233" s="2">
        <v>0</v>
      </c>
      <c r="J233" s="2">
        <v>1.25</v>
      </c>
      <c r="K233" s="2">
        <v>0</v>
      </c>
      <c r="L233" s="2">
        <v>0</v>
      </c>
      <c r="M233" s="20" t="str">
        <f t="shared" si="12"/>
        <v>0.00</v>
      </c>
      <c r="N233" s="21">
        <f t="shared" si="13"/>
        <v>0.2089</v>
      </c>
      <c r="O233" s="21">
        <f t="shared" si="14"/>
        <v>0</v>
      </c>
      <c r="P233" s="21">
        <f t="shared" si="15"/>
        <v>1.25</v>
      </c>
    </row>
    <row r="234" spans="1:16" ht="15" customHeight="1" x14ac:dyDescent="0.3">
      <c r="A234" s="7" t="s">
        <v>230</v>
      </c>
      <c r="B234" s="7" t="s">
        <v>546</v>
      </c>
      <c r="C234" s="3" t="s">
        <v>665</v>
      </c>
      <c r="D234" s="8" t="s">
        <v>1</v>
      </c>
      <c r="E234" s="8" t="s">
        <v>2</v>
      </c>
      <c r="F234" s="6">
        <v>60</v>
      </c>
      <c r="G234" s="2">
        <v>0</v>
      </c>
      <c r="H234" s="2">
        <v>0</v>
      </c>
      <c r="I234" s="2">
        <v>0.18790000000000001</v>
      </c>
      <c r="J234" s="2">
        <v>0</v>
      </c>
      <c r="K234" s="2">
        <v>0</v>
      </c>
      <c r="L234" s="2">
        <v>1.0885</v>
      </c>
      <c r="M234" s="20" t="str">
        <f t="shared" si="12"/>
        <v>0.00</v>
      </c>
      <c r="N234" s="21">
        <f t="shared" si="13"/>
        <v>0</v>
      </c>
      <c r="O234" s="21">
        <f t="shared" si="14"/>
        <v>-1.0885</v>
      </c>
      <c r="P234" s="21">
        <f t="shared" si="15"/>
        <v>0</v>
      </c>
    </row>
    <row r="235" spans="1:16" ht="15" customHeight="1" x14ac:dyDescent="0.3">
      <c r="A235" s="7" t="s">
        <v>231</v>
      </c>
      <c r="B235" s="7" t="s">
        <v>546</v>
      </c>
      <c r="C235" s="3" t="s">
        <v>665</v>
      </c>
      <c r="D235" s="8" t="s">
        <v>1</v>
      </c>
      <c r="E235" s="8" t="s">
        <v>2</v>
      </c>
      <c r="F235" s="6">
        <v>70</v>
      </c>
      <c r="G235" s="2">
        <v>1.4366000000000001</v>
      </c>
      <c r="H235" s="2">
        <v>2.8525</v>
      </c>
      <c r="I235" s="2">
        <v>1.1071</v>
      </c>
      <c r="J235" s="2">
        <v>10.09</v>
      </c>
      <c r="K235" s="2">
        <v>20.329999999999998</v>
      </c>
      <c r="L235" s="2">
        <v>7.64</v>
      </c>
      <c r="M235" s="20" t="str">
        <f t="shared" si="12"/>
        <v>98.56</v>
      </c>
      <c r="N235" s="21">
        <f t="shared" si="13"/>
        <v>-1.4158999999999999</v>
      </c>
      <c r="O235" s="21">
        <f t="shared" si="14"/>
        <v>12.689999999999998</v>
      </c>
      <c r="P235" s="21">
        <f t="shared" si="15"/>
        <v>-10.239999999999998</v>
      </c>
    </row>
    <row r="236" spans="1:16" ht="15" customHeight="1" x14ac:dyDescent="0.3">
      <c r="A236" s="7" t="s">
        <v>232</v>
      </c>
      <c r="B236" s="7" t="s">
        <v>546</v>
      </c>
      <c r="C236" s="3" t="s">
        <v>665</v>
      </c>
      <c r="D236" s="8" t="s">
        <v>1</v>
      </c>
      <c r="E236" s="8" t="s">
        <v>45</v>
      </c>
      <c r="F236" s="6">
        <v>70</v>
      </c>
      <c r="G236" s="2">
        <v>6.5038999999999998</v>
      </c>
      <c r="H236" s="2">
        <v>6.5046999999999997</v>
      </c>
      <c r="I236" s="2">
        <v>1.2238</v>
      </c>
      <c r="J236" s="2">
        <v>46.08</v>
      </c>
      <c r="K236" s="2">
        <v>47.101700000000001</v>
      </c>
      <c r="L236" s="2">
        <v>9.65</v>
      </c>
      <c r="M236" s="20" t="str">
        <f t="shared" si="12"/>
        <v>0.01</v>
      </c>
      <c r="N236" s="21">
        <f t="shared" si="13"/>
        <v>-7.9999999999991189E-4</v>
      </c>
      <c r="O236" s="21">
        <f t="shared" si="14"/>
        <v>37.451700000000002</v>
      </c>
      <c r="P236" s="21">
        <f t="shared" si="15"/>
        <v>-1.0217000000000027</v>
      </c>
    </row>
    <row r="237" spans="1:16" ht="15" customHeight="1" x14ac:dyDescent="0.3">
      <c r="A237" s="7" t="s">
        <v>233</v>
      </c>
      <c r="B237" s="7" t="s">
        <v>546</v>
      </c>
      <c r="C237" s="3" t="s">
        <v>665</v>
      </c>
      <c r="D237" s="8" t="s">
        <v>1</v>
      </c>
      <c r="E237" s="8" t="s">
        <v>12</v>
      </c>
      <c r="F237" s="6">
        <v>70</v>
      </c>
      <c r="G237" s="2">
        <v>0</v>
      </c>
      <c r="H237" s="2">
        <v>6.5199999999999994E-2</v>
      </c>
      <c r="I237" s="2">
        <v>0</v>
      </c>
      <c r="J237" s="2">
        <v>0</v>
      </c>
      <c r="K237" s="2">
        <v>0.35370000000000001</v>
      </c>
      <c r="L237" s="2">
        <v>0</v>
      </c>
      <c r="M237" s="20" t="str">
        <f t="shared" si="12"/>
        <v>0.00</v>
      </c>
      <c r="N237" s="21">
        <f t="shared" si="13"/>
        <v>-6.5199999999999994E-2</v>
      </c>
      <c r="O237" s="21">
        <f t="shared" si="14"/>
        <v>0.35370000000000001</v>
      </c>
      <c r="P237" s="21">
        <f t="shared" si="15"/>
        <v>-0.35370000000000001</v>
      </c>
    </row>
    <row r="238" spans="1:16" ht="15" customHeight="1" x14ac:dyDescent="0.3">
      <c r="A238" s="7" t="s">
        <v>234</v>
      </c>
      <c r="B238" s="7" t="s">
        <v>547</v>
      </c>
      <c r="C238" s="3" t="s">
        <v>666</v>
      </c>
      <c r="D238" s="8" t="s">
        <v>1</v>
      </c>
      <c r="E238" s="8" t="s">
        <v>12</v>
      </c>
      <c r="F238" s="6">
        <v>80</v>
      </c>
      <c r="G238" s="2">
        <v>7.0000000000000001E-3</v>
      </c>
      <c r="H238" s="2">
        <v>0</v>
      </c>
      <c r="I238" s="2">
        <v>0</v>
      </c>
      <c r="J238" s="2">
        <v>0.08</v>
      </c>
      <c r="K238" s="2">
        <v>0</v>
      </c>
      <c r="L238" s="2">
        <v>0</v>
      </c>
      <c r="M238" s="20" t="str">
        <f t="shared" si="12"/>
        <v>0.00</v>
      </c>
      <c r="N238" s="21">
        <f t="shared" si="13"/>
        <v>7.0000000000000001E-3</v>
      </c>
      <c r="O238" s="21">
        <f t="shared" si="14"/>
        <v>0</v>
      </c>
      <c r="P238" s="21">
        <f t="shared" si="15"/>
        <v>0.08</v>
      </c>
    </row>
    <row r="239" spans="1:16" ht="15" customHeight="1" x14ac:dyDescent="0.3">
      <c r="A239" s="7" t="s">
        <v>235</v>
      </c>
      <c r="B239" s="7" t="s">
        <v>548</v>
      </c>
      <c r="C239" s="3" t="s">
        <v>750</v>
      </c>
      <c r="D239" s="8" t="s">
        <v>1</v>
      </c>
      <c r="E239" s="8" t="s">
        <v>12</v>
      </c>
      <c r="F239" s="6">
        <v>100</v>
      </c>
      <c r="G239" s="2">
        <v>0</v>
      </c>
      <c r="H239" s="2">
        <v>0</v>
      </c>
      <c r="I239" s="2">
        <v>0.80289999999999995</v>
      </c>
      <c r="J239" s="2">
        <v>0</v>
      </c>
      <c r="K239" s="2">
        <v>0</v>
      </c>
      <c r="L239" s="2">
        <v>36.833599999999997</v>
      </c>
      <c r="M239" s="20" t="str">
        <f t="shared" si="12"/>
        <v>0.00</v>
      </c>
      <c r="N239" s="21">
        <f t="shared" si="13"/>
        <v>0</v>
      </c>
      <c r="O239" s="21">
        <f t="shared" si="14"/>
        <v>-36.833599999999997</v>
      </c>
      <c r="P239" s="21">
        <f t="shared" si="15"/>
        <v>0</v>
      </c>
    </row>
    <row r="240" spans="1:16" ht="15" customHeight="1" x14ac:dyDescent="0.3">
      <c r="A240" s="7" t="s">
        <v>236</v>
      </c>
      <c r="B240" s="7" t="s">
        <v>548</v>
      </c>
      <c r="C240" s="3" t="s">
        <v>750</v>
      </c>
      <c r="D240" s="8" t="s">
        <v>1</v>
      </c>
      <c r="E240" s="8" t="s">
        <v>5</v>
      </c>
      <c r="F240" s="6">
        <v>100</v>
      </c>
      <c r="G240" s="2">
        <v>9.9892000000000003</v>
      </c>
      <c r="H240" s="2">
        <v>8.1153999999999993</v>
      </c>
      <c r="I240" s="2">
        <v>3.5836999999999999</v>
      </c>
      <c r="J240" s="2">
        <v>492.51530000000002</v>
      </c>
      <c r="K240" s="2">
        <v>366.96510000000001</v>
      </c>
      <c r="L240" s="2">
        <v>145.6557</v>
      </c>
      <c r="M240" s="20" t="str">
        <f t="shared" si="12"/>
        <v>-18.76</v>
      </c>
      <c r="N240" s="21">
        <f t="shared" si="13"/>
        <v>1.873800000000001</v>
      </c>
      <c r="O240" s="21">
        <f t="shared" si="14"/>
        <v>221.30940000000001</v>
      </c>
      <c r="P240" s="21">
        <f t="shared" si="15"/>
        <v>125.55020000000002</v>
      </c>
    </row>
    <row r="241" spans="1:16" ht="15" customHeight="1" x14ac:dyDescent="0.3">
      <c r="A241" s="7" t="s">
        <v>237</v>
      </c>
      <c r="B241" s="7" t="s">
        <v>548</v>
      </c>
      <c r="C241" s="3" t="s">
        <v>750</v>
      </c>
      <c r="D241" s="8" t="s">
        <v>1</v>
      </c>
      <c r="E241" s="8" t="s">
        <v>12</v>
      </c>
      <c r="F241" s="6">
        <v>100</v>
      </c>
      <c r="G241" s="2">
        <v>2.3199999999999998E-2</v>
      </c>
      <c r="H241" s="2">
        <v>2.375</v>
      </c>
      <c r="I241" s="2">
        <v>2.0299</v>
      </c>
      <c r="J241" s="2">
        <v>1.054</v>
      </c>
      <c r="K241" s="2">
        <v>113.97580000000001</v>
      </c>
      <c r="L241" s="2">
        <v>89.836200000000005</v>
      </c>
      <c r="M241" s="20" t="str">
        <f t="shared" si="12"/>
        <v>10137.07</v>
      </c>
      <c r="N241" s="21">
        <f t="shared" si="13"/>
        <v>-2.3517999999999999</v>
      </c>
      <c r="O241" s="21">
        <f t="shared" si="14"/>
        <v>24.139600000000002</v>
      </c>
      <c r="P241" s="21">
        <f t="shared" si="15"/>
        <v>-112.9218</v>
      </c>
    </row>
    <row r="242" spans="1:16" ht="15" customHeight="1" x14ac:dyDescent="0.3">
      <c r="A242" s="7" t="s">
        <v>238</v>
      </c>
      <c r="B242" s="7" t="s">
        <v>548</v>
      </c>
      <c r="C242" s="3" t="s">
        <v>750</v>
      </c>
      <c r="D242" s="8" t="s">
        <v>1</v>
      </c>
      <c r="E242" s="8" t="s">
        <v>5</v>
      </c>
      <c r="F242" s="6">
        <v>100</v>
      </c>
      <c r="G242" s="2">
        <v>12.8912</v>
      </c>
      <c r="H242" s="2">
        <v>14.945399999999999</v>
      </c>
      <c r="I242" s="2">
        <v>2.4279000000000002</v>
      </c>
      <c r="J242" s="2">
        <v>607.44449999999995</v>
      </c>
      <c r="K242" s="2">
        <v>678.69550000000004</v>
      </c>
      <c r="L242" s="2">
        <v>103.8368</v>
      </c>
      <c r="M242" s="20" t="str">
        <f t="shared" si="12"/>
        <v>15.93</v>
      </c>
      <c r="N242" s="21">
        <f t="shared" si="13"/>
        <v>-2.0541999999999998</v>
      </c>
      <c r="O242" s="21">
        <f t="shared" si="14"/>
        <v>574.8587</v>
      </c>
      <c r="P242" s="21">
        <f t="shared" si="15"/>
        <v>-71.25100000000009</v>
      </c>
    </row>
    <row r="243" spans="1:16" ht="15" customHeight="1" x14ac:dyDescent="0.3">
      <c r="A243" s="7" t="s">
        <v>239</v>
      </c>
      <c r="B243" s="7" t="s">
        <v>548</v>
      </c>
      <c r="C243" s="3" t="s">
        <v>750</v>
      </c>
      <c r="D243" s="8" t="s">
        <v>1</v>
      </c>
      <c r="E243" s="8" t="s">
        <v>2</v>
      </c>
      <c r="F243" s="6">
        <v>100</v>
      </c>
      <c r="G243" s="2">
        <v>0</v>
      </c>
      <c r="H243" s="2">
        <v>0.01</v>
      </c>
      <c r="I243" s="2">
        <v>1.5183</v>
      </c>
      <c r="J243" s="2">
        <v>0</v>
      </c>
      <c r="K243" s="2">
        <v>0.48130000000000001</v>
      </c>
      <c r="L243" s="2">
        <v>68.4452</v>
      </c>
      <c r="M243" s="20" t="str">
        <f t="shared" si="12"/>
        <v>0.00</v>
      </c>
      <c r="N243" s="21">
        <f t="shared" si="13"/>
        <v>-0.01</v>
      </c>
      <c r="O243" s="21">
        <f t="shared" si="14"/>
        <v>-67.963899999999995</v>
      </c>
      <c r="P243" s="21">
        <f t="shared" si="15"/>
        <v>-0.48130000000000001</v>
      </c>
    </row>
    <row r="244" spans="1:16" ht="15" customHeight="1" x14ac:dyDescent="0.3">
      <c r="A244" s="7" t="s">
        <v>240</v>
      </c>
      <c r="B244" s="7" t="s">
        <v>548</v>
      </c>
      <c r="C244" s="3" t="s">
        <v>750</v>
      </c>
      <c r="D244" s="8" t="s">
        <v>1</v>
      </c>
      <c r="E244" s="8" t="s">
        <v>12</v>
      </c>
      <c r="F244" s="6">
        <v>100</v>
      </c>
      <c r="G244" s="2">
        <v>32.355400000000003</v>
      </c>
      <c r="H244" s="2">
        <v>38.555399999999999</v>
      </c>
      <c r="I244" s="2">
        <v>28.667999999999999</v>
      </c>
      <c r="J244" s="2">
        <v>1339.7692</v>
      </c>
      <c r="K244" s="2">
        <v>1517.8848</v>
      </c>
      <c r="L244" s="2">
        <v>1147.3356000000001</v>
      </c>
      <c r="M244" s="20" t="str">
        <f t="shared" si="12"/>
        <v>19.16</v>
      </c>
      <c r="N244" s="21">
        <f t="shared" si="13"/>
        <v>-6.1999999999999957</v>
      </c>
      <c r="O244" s="21">
        <f t="shared" si="14"/>
        <v>370.54919999999993</v>
      </c>
      <c r="P244" s="21">
        <f t="shared" si="15"/>
        <v>-178.11560000000009</v>
      </c>
    </row>
    <row r="245" spans="1:16" ht="15" customHeight="1" x14ac:dyDescent="0.3">
      <c r="A245" s="7" t="s">
        <v>241</v>
      </c>
      <c r="B245" s="7" t="s">
        <v>548</v>
      </c>
      <c r="C245" s="3" t="s">
        <v>750</v>
      </c>
      <c r="D245" s="8" t="s">
        <v>1</v>
      </c>
      <c r="E245" s="8" t="s">
        <v>5</v>
      </c>
      <c r="F245" s="6">
        <v>120</v>
      </c>
      <c r="G245" s="2">
        <v>39.0503</v>
      </c>
      <c r="H245" s="2">
        <v>53.6008</v>
      </c>
      <c r="I245" s="2">
        <v>45.671900000000001</v>
      </c>
      <c r="J245" s="2">
        <v>2028.7261000000001</v>
      </c>
      <c r="K245" s="2">
        <v>2727.4971999999998</v>
      </c>
      <c r="L245" s="2">
        <v>2409.5587999999998</v>
      </c>
      <c r="M245" s="20" t="str">
        <f t="shared" si="12"/>
        <v>37.26</v>
      </c>
      <c r="N245" s="21">
        <f t="shared" si="13"/>
        <v>-14.5505</v>
      </c>
      <c r="O245" s="21">
        <f t="shared" si="14"/>
        <v>317.9384</v>
      </c>
      <c r="P245" s="21">
        <f t="shared" si="15"/>
        <v>-698.77109999999971</v>
      </c>
    </row>
    <row r="246" spans="1:16" ht="15" customHeight="1" x14ac:dyDescent="0.3">
      <c r="A246" s="7" t="s">
        <v>242</v>
      </c>
      <c r="B246" s="7" t="s">
        <v>548</v>
      </c>
      <c r="C246" s="3" t="s">
        <v>750</v>
      </c>
      <c r="D246" s="8" t="s">
        <v>1</v>
      </c>
      <c r="E246" s="8" t="s">
        <v>12</v>
      </c>
      <c r="F246" s="6">
        <v>120</v>
      </c>
      <c r="G246" s="2">
        <v>18.061</v>
      </c>
      <c r="H246" s="2">
        <v>20.3689</v>
      </c>
      <c r="I246" s="2">
        <v>25.3782</v>
      </c>
      <c r="J246" s="2">
        <v>997.27200000000005</v>
      </c>
      <c r="K246" s="2">
        <v>1129.9784999999999</v>
      </c>
      <c r="L246" s="2">
        <v>1401.0871999999999</v>
      </c>
      <c r="M246" s="20" t="str">
        <f t="shared" si="12"/>
        <v>12.78</v>
      </c>
      <c r="N246" s="21">
        <f t="shared" si="13"/>
        <v>-2.3079000000000001</v>
      </c>
      <c r="O246" s="21">
        <f t="shared" si="14"/>
        <v>-271.1087</v>
      </c>
      <c r="P246" s="21">
        <f t="shared" si="15"/>
        <v>-132.70649999999989</v>
      </c>
    </row>
    <row r="247" spans="1:16" ht="15" customHeight="1" x14ac:dyDescent="0.3">
      <c r="A247" s="7" t="s">
        <v>243</v>
      </c>
      <c r="B247" s="7" t="s">
        <v>548</v>
      </c>
      <c r="C247" s="3" t="s">
        <v>750</v>
      </c>
      <c r="D247" s="8" t="s">
        <v>1</v>
      </c>
      <c r="E247" s="8" t="s">
        <v>5</v>
      </c>
      <c r="F247" s="6">
        <v>120</v>
      </c>
      <c r="G247" s="2">
        <v>60.256900000000002</v>
      </c>
      <c r="H247" s="2">
        <v>59.171300000000002</v>
      </c>
      <c r="I247" s="2">
        <v>46.391500000000001</v>
      </c>
      <c r="J247" s="2">
        <v>3003.9076</v>
      </c>
      <c r="K247" s="2">
        <v>2862.6754999999998</v>
      </c>
      <c r="L247" s="2">
        <v>2309.9086000000002</v>
      </c>
      <c r="M247" s="20" t="str">
        <f t="shared" si="12"/>
        <v>-1.80</v>
      </c>
      <c r="N247" s="21">
        <f t="shared" si="13"/>
        <v>1.0855999999999995</v>
      </c>
      <c r="O247" s="21">
        <f t="shared" si="14"/>
        <v>552.76689999999962</v>
      </c>
      <c r="P247" s="21">
        <f t="shared" si="15"/>
        <v>141.23210000000017</v>
      </c>
    </row>
    <row r="248" spans="1:16" ht="15" customHeight="1" x14ac:dyDescent="0.3">
      <c r="A248" s="7" t="s">
        <v>244</v>
      </c>
      <c r="B248" s="7" t="s">
        <v>548</v>
      </c>
      <c r="C248" s="3" t="s">
        <v>750</v>
      </c>
      <c r="D248" s="8" t="s">
        <v>1</v>
      </c>
      <c r="E248" s="8" t="s">
        <v>5</v>
      </c>
      <c r="F248" s="6">
        <v>120</v>
      </c>
      <c r="G248" s="2">
        <v>20.0168</v>
      </c>
      <c r="H248" s="2">
        <v>19.4117</v>
      </c>
      <c r="I248" s="2">
        <v>16.676400000000001</v>
      </c>
      <c r="J248" s="2">
        <v>1086.6414</v>
      </c>
      <c r="K248" s="2">
        <v>1089.1328000000001</v>
      </c>
      <c r="L248" s="2">
        <v>913.75469999999996</v>
      </c>
      <c r="M248" s="20" t="str">
        <f t="shared" si="12"/>
        <v>-3.02</v>
      </c>
      <c r="N248" s="21">
        <f t="shared" si="13"/>
        <v>0.60510000000000019</v>
      </c>
      <c r="O248" s="21">
        <f t="shared" si="14"/>
        <v>175.37810000000013</v>
      </c>
      <c r="P248" s="21">
        <f t="shared" si="15"/>
        <v>-2.4914000000001124</v>
      </c>
    </row>
    <row r="249" spans="1:16" ht="15" customHeight="1" x14ac:dyDescent="0.3">
      <c r="A249" s="7" t="s">
        <v>245</v>
      </c>
      <c r="B249" s="7" t="s">
        <v>548</v>
      </c>
      <c r="C249" s="3" t="s">
        <v>750</v>
      </c>
      <c r="D249" s="8" t="s">
        <v>1</v>
      </c>
      <c r="E249" s="8" t="s">
        <v>5</v>
      </c>
      <c r="F249" s="6">
        <v>120</v>
      </c>
      <c r="G249" s="2">
        <v>15.4658</v>
      </c>
      <c r="H249" s="2">
        <v>23.898299999999999</v>
      </c>
      <c r="I249" s="2">
        <v>20.8841</v>
      </c>
      <c r="J249" s="2">
        <v>835.59469999999999</v>
      </c>
      <c r="K249" s="2">
        <v>1304.8905999999999</v>
      </c>
      <c r="L249" s="2">
        <v>1122.8086000000001</v>
      </c>
      <c r="M249" s="20" t="str">
        <f t="shared" si="12"/>
        <v>54.52</v>
      </c>
      <c r="N249" s="21">
        <f t="shared" si="13"/>
        <v>-8.4324999999999992</v>
      </c>
      <c r="O249" s="21">
        <f t="shared" si="14"/>
        <v>182.08199999999988</v>
      </c>
      <c r="P249" s="21">
        <f t="shared" si="15"/>
        <v>-469.29589999999996</v>
      </c>
    </row>
    <row r="250" spans="1:16" ht="15" customHeight="1" x14ac:dyDescent="0.3">
      <c r="A250" s="7" t="s">
        <v>246</v>
      </c>
      <c r="B250" s="7" t="s">
        <v>548</v>
      </c>
      <c r="C250" s="3" t="s">
        <v>750</v>
      </c>
      <c r="D250" s="8" t="s">
        <v>1</v>
      </c>
      <c r="E250" s="8" t="s">
        <v>2</v>
      </c>
      <c r="F250" s="6">
        <v>120</v>
      </c>
      <c r="G250" s="2">
        <v>17.192699999999999</v>
      </c>
      <c r="H250" s="2">
        <v>14.837400000000001</v>
      </c>
      <c r="I250" s="2">
        <v>10.0755</v>
      </c>
      <c r="J250" s="2">
        <v>845.18690000000004</v>
      </c>
      <c r="K250" s="2">
        <v>818.97209999999995</v>
      </c>
      <c r="L250" s="2">
        <v>554.23329999999999</v>
      </c>
      <c r="M250" s="20" t="str">
        <f t="shared" si="12"/>
        <v>-13.70</v>
      </c>
      <c r="N250" s="21">
        <f t="shared" si="13"/>
        <v>2.355299999999998</v>
      </c>
      <c r="O250" s="21">
        <f t="shared" si="14"/>
        <v>264.73879999999997</v>
      </c>
      <c r="P250" s="21">
        <f t="shared" si="15"/>
        <v>26.214800000000082</v>
      </c>
    </row>
    <row r="251" spans="1:16" ht="15" customHeight="1" x14ac:dyDescent="0.3">
      <c r="A251" s="7" t="s">
        <v>247</v>
      </c>
      <c r="B251" s="7" t="s">
        <v>548</v>
      </c>
      <c r="C251" s="3" t="s">
        <v>750</v>
      </c>
      <c r="D251" s="8" t="s">
        <v>1</v>
      </c>
      <c r="E251" s="8" t="s">
        <v>12</v>
      </c>
      <c r="F251" s="6">
        <v>120</v>
      </c>
      <c r="G251" s="2">
        <v>12.4558</v>
      </c>
      <c r="H251" s="2">
        <v>19.5045</v>
      </c>
      <c r="I251" s="2">
        <v>19.680399999999999</v>
      </c>
      <c r="J251" s="2">
        <v>695.70420000000001</v>
      </c>
      <c r="K251" s="2">
        <v>1080.8305</v>
      </c>
      <c r="L251" s="2">
        <v>1068.2409</v>
      </c>
      <c r="M251" s="20" t="str">
        <f t="shared" si="12"/>
        <v>56.59</v>
      </c>
      <c r="N251" s="21">
        <f t="shared" si="13"/>
        <v>-7.0487000000000002</v>
      </c>
      <c r="O251" s="21">
        <f t="shared" si="14"/>
        <v>12.589600000000019</v>
      </c>
      <c r="P251" s="21">
        <f t="shared" si="15"/>
        <v>-385.12630000000001</v>
      </c>
    </row>
    <row r="252" spans="1:16" ht="15" customHeight="1" x14ac:dyDescent="0.3">
      <c r="A252" s="7" t="s">
        <v>248</v>
      </c>
      <c r="B252" s="7" t="s">
        <v>548</v>
      </c>
      <c r="C252" s="3" t="s">
        <v>750</v>
      </c>
      <c r="D252" s="8" t="s">
        <v>1</v>
      </c>
      <c r="E252" s="8" t="s">
        <v>12</v>
      </c>
      <c r="F252" s="6">
        <v>120</v>
      </c>
      <c r="G252" s="2">
        <v>29.7578</v>
      </c>
      <c r="H252" s="2">
        <v>42.059199999999997</v>
      </c>
      <c r="I252" s="2">
        <v>37.9373</v>
      </c>
      <c r="J252" s="2">
        <v>1513.1635000000001</v>
      </c>
      <c r="K252" s="2">
        <v>2139.8314999999998</v>
      </c>
      <c r="L252" s="2">
        <v>1997.7666999999999</v>
      </c>
      <c r="M252" s="20" t="str">
        <f t="shared" si="12"/>
        <v>41.34</v>
      </c>
      <c r="N252" s="21">
        <f t="shared" si="13"/>
        <v>-12.301399999999997</v>
      </c>
      <c r="O252" s="21">
        <f t="shared" si="14"/>
        <v>142.06479999999988</v>
      </c>
      <c r="P252" s="21">
        <f t="shared" si="15"/>
        <v>-626.66799999999967</v>
      </c>
    </row>
    <row r="253" spans="1:16" ht="15" customHeight="1" x14ac:dyDescent="0.3">
      <c r="A253" s="7" t="s">
        <v>249</v>
      </c>
      <c r="B253" s="7" t="s">
        <v>548</v>
      </c>
      <c r="C253" s="3" t="s">
        <v>750</v>
      </c>
      <c r="D253" s="8" t="s">
        <v>1</v>
      </c>
      <c r="E253" s="8" t="s">
        <v>5</v>
      </c>
      <c r="F253" s="6">
        <v>20</v>
      </c>
      <c r="G253" s="2">
        <v>12.4033</v>
      </c>
      <c r="H253" s="2">
        <v>7.0781999999999998</v>
      </c>
      <c r="I253" s="2">
        <v>1.7199</v>
      </c>
      <c r="J253" s="2">
        <v>294.48759999999999</v>
      </c>
      <c r="K253" s="2">
        <v>150.97989999999999</v>
      </c>
      <c r="L253" s="2">
        <v>36.068199999999997</v>
      </c>
      <c r="M253" s="20" t="str">
        <f t="shared" si="12"/>
        <v>-42.93</v>
      </c>
      <c r="N253" s="21">
        <f t="shared" si="13"/>
        <v>5.3250999999999999</v>
      </c>
      <c r="O253" s="21">
        <f t="shared" si="14"/>
        <v>114.9117</v>
      </c>
      <c r="P253" s="21">
        <f t="shared" si="15"/>
        <v>143.5077</v>
      </c>
    </row>
    <row r="254" spans="1:16" ht="15" customHeight="1" x14ac:dyDescent="0.3">
      <c r="A254" s="7" t="s">
        <v>250</v>
      </c>
      <c r="B254" s="7" t="s">
        <v>548</v>
      </c>
      <c r="C254" s="3" t="s">
        <v>750</v>
      </c>
      <c r="D254" s="8" t="s">
        <v>1</v>
      </c>
      <c r="E254" s="8" t="s">
        <v>12</v>
      </c>
      <c r="F254" s="6">
        <v>40</v>
      </c>
      <c r="G254" s="2">
        <v>1.6268</v>
      </c>
      <c r="H254" s="2">
        <v>0</v>
      </c>
      <c r="I254" s="2">
        <v>0</v>
      </c>
      <c r="J254" s="2">
        <v>65.1297</v>
      </c>
      <c r="K254" s="2">
        <v>0</v>
      </c>
      <c r="L254" s="2">
        <v>0</v>
      </c>
      <c r="M254" s="20" t="str">
        <f t="shared" si="12"/>
        <v>0.00</v>
      </c>
      <c r="N254" s="21">
        <f t="shared" si="13"/>
        <v>1.6268</v>
      </c>
      <c r="O254" s="21">
        <f t="shared" si="14"/>
        <v>0</v>
      </c>
      <c r="P254" s="21">
        <f t="shared" si="15"/>
        <v>65.1297</v>
      </c>
    </row>
    <row r="255" spans="1:16" ht="15" customHeight="1" x14ac:dyDescent="0.3">
      <c r="A255" s="7" t="s">
        <v>251</v>
      </c>
      <c r="B255" s="7" t="s">
        <v>548</v>
      </c>
      <c r="C255" s="3" t="s">
        <v>750</v>
      </c>
      <c r="D255" s="8" t="s">
        <v>1</v>
      </c>
      <c r="E255" s="8" t="s">
        <v>12</v>
      </c>
      <c r="F255" s="6">
        <v>40</v>
      </c>
      <c r="G255" s="2">
        <v>2.5358999999999998</v>
      </c>
      <c r="H255" s="2">
        <v>0</v>
      </c>
      <c r="I255" s="2">
        <v>0</v>
      </c>
      <c r="J255" s="2">
        <v>101.7274</v>
      </c>
      <c r="K255" s="2">
        <v>0</v>
      </c>
      <c r="L255" s="2">
        <v>0</v>
      </c>
      <c r="M255" s="20" t="str">
        <f t="shared" si="12"/>
        <v>0.00</v>
      </c>
      <c r="N255" s="21">
        <f t="shared" si="13"/>
        <v>2.5358999999999998</v>
      </c>
      <c r="O255" s="21">
        <f t="shared" si="14"/>
        <v>0</v>
      </c>
      <c r="P255" s="21">
        <f t="shared" si="15"/>
        <v>101.7274</v>
      </c>
    </row>
    <row r="256" spans="1:16" ht="15" customHeight="1" x14ac:dyDescent="0.3">
      <c r="A256" s="7" t="s">
        <v>252</v>
      </c>
      <c r="B256" s="7" t="s">
        <v>548</v>
      </c>
      <c r="C256" s="3" t="s">
        <v>750</v>
      </c>
      <c r="D256" s="8" t="s">
        <v>1</v>
      </c>
      <c r="E256" s="8" t="s">
        <v>2</v>
      </c>
      <c r="F256" s="6">
        <v>60</v>
      </c>
      <c r="G256" s="2">
        <v>0</v>
      </c>
      <c r="H256" s="2">
        <v>0</v>
      </c>
      <c r="I256" s="2">
        <v>3.6318999999999999</v>
      </c>
      <c r="J256" s="2">
        <v>0</v>
      </c>
      <c r="K256" s="2">
        <v>0</v>
      </c>
      <c r="L256" s="2">
        <v>71.160700000000006</v>
      </c>
      <c r="M256" s="20" t="str">
        <f t="shared" si="12"/>
        <v>0.00</v>
      </c>
      <c r="N256" s="21">
        <f t="shared" si="13"/>
        <v>0</v>
      </c>
      <c r="O256" s="21">
        <f t="shared" si="14"/>
        <v>-71.160700000000006</v>
      </c>
      <c r="P256" s="21">
        <f t="shared" si="15"/>
        <v>0</v>
      </c>
    </row>
    <row r="257" spans="1:16" ht="15" customHeight="1" x14ac:dyDescent="0.3">
      <c r="A257" s="7" t="s">
        <v>253</v>
      </c>
      <c r="B257" s="7" t="s">
        <v>548</v>
      </c>
      <c r="C257" s="3" t="s">
        <v>750</v>
      </c>
      <c r="D257" s="8" t="s">
        <v>1</v>
      </c>
      <c r="E257" s="8" t="s">
        <v>2</v>
      </c>
      <c r="F257" s="6">
        <v>72</v>
      </c>
      <c r="G257" s="2">
        <v>17.9986</v>
      </c>
      <c r="H257" s="2">
        <v>13.0489</v>
      </c>
      <c r="I257" s="2">
        <v>10.643000000000001</v>
      </c>
      <c r="J257" s="2">
        <v>650.62580000000003</v>
      </c>
      <c r="K257" s="2">
        <v>424.79559999999998</v>
      </c>
      <c r="L257" s="2">
        <v>323.3997</v>
      </c>
      <c r="M257" s="20" t="str">
        <f t="shared" si="12"/>
        <v>-27.50</v>
      </c>
      <c r="N257" s="21">
        <f t="shared" si="13"/>
        <v>4.9497</v>
      </c>
      <c r="O257" s="21">
        <f t="shared" si="14"/>
        <v>101.39589999999998</v>
      </c>
      <c r="P257" s="21">
        <f t="shared" si="15"/>
        <v>225.83020000000005</v>
      </c>
    </row>
    <row r="258" spans="1:16" ht="15" customHeight="1" x14ac:dyDescent="0.3">
      <c r="A258" s="7" t="s">
        <v>254</v>
      </c>
      <c r="B258" s="7" t="s">
        <v>548</v>
      </c>
      <c r="C258" s="3" t="s">
        <v>750</v>
      </c>
      <c r="D258" s="8" t="s">
        <v>1</v>
      </c>
      <c r="E258" s="8" t="s">
        <v>41</v>
      </c>
      <c r="F258" s="6">
        <v>72</v>
      </c>
      <c r="G258" s="2">
        <v>18.099399999999999</v>
      </c>
      <c r="H258" s="2">
        <v>12.3561</v>
      </c>
      <c r="I258" s="2">
        <v>12.3432</v>
      </c>
      <c r="J258" s="2">
        <v>1018.4675999999999</v>
      </c>
      <c r="K258" s="2">
        <v>683.55870000000004</v>
      </c>
      <c r="L258" s="2">
        <v>606.59050000000002</v>
      </c>
      <c r="M258" s="20" t="str">
        <f t="shared" si="12"/>
        <v>-31.73</v>
      </c>
      <c r="N258" s="21">
        <f t="shared" si="13"/>
        <v>5.7432999999999996</v>
      </c>
      <c r="O258" s="21">
        <f t="shared" si="14"/>
        <v>76.968200000000024</v>
      </c>
      <c r="P258" s="21">
        <f t="shared" si="15"/>
        <v>334.9088999999999</v>
      </c>
    </row>
    <row r="259" spans="1:16" ht="15" customHeight="1" x14ac:dyDescent="0.3">
      <c r="A259" s="7" t="s">
        <v>255</v>
      </c>
      <c r="B259" s="7" t="s">
        <v>548</v>
      </c>
      <c r="C259" s="3" t="s">
        <v>750</v>
      </c>
      <c r="D259" s="8" t="s">
        <v>1</v>
      </c>
      <c r="E259" s="8" t="s">
        <v>2</v>
      </c>
      <c r="F259" s="6">
        <v>72</v>
      </c>
      <c r="G259" s="2">
        <v>13.9643</v>
      </c>
      <c r="H259" s="2">
        <v>11.9328</v>
      </c>
      <c r="I259" s="2">
        <v>7.4202000000000004</v>
      </c>
      <c r="J259" s="2">
        <v>510.25119999999998</v>
      </c>
      <c r="K259" s="2">
        <v>382.31479999999999</v>
      </c>
      <c r="L259" s="2">
        <v>215.15559999999999</v>
      </c>
      <c r="M259" s="20" t="str">
        <f t="shared" ref="M259:M322" si="16">IF(OR(G259=0, H259=0), "0.00", TEXT((H259-G259)/G259*100, "0.00"))</f>
        <v>-14.55</v>
      </c>
      <c r="N259" s="21">
        <f t="shared" ref="N259:N322" si="17">G259-H259</f>
        <v>2.0314999999999994</v>
      </c>
      <c r="O259" s="21">
        <f t="shared" ref="O259:O322" si="18">K259-L259</f>
        <v>167.1592</v>
      </c>
      <c r="P259" s="21">
        <f t="shared" ref="P259:P322" si="19">J259-K259</f>
        <v>127.93639999999999</v>
      </c>
    </row>
    <row r="260" spans="1:16" ht="15" customHeight="1" x14ac:dyDescent="0.3">
      <c r="A260" s="7" t="s">
        <v>256</v>
      </c>
      <c r="B260" s="7" t="s">
        <v>548</v>
      </c>
      <c r="C260" s="3" t="s">
        <v>750</v>
      </c>
      <c r="D260" s="8" t="s">
        <v>1</v>
      </c>
      <c r="E260" s="8" t="s">
        <v>5</v>
      </c>
      <c r="F260" s="6">
        <v>72</v>
      </c>
      <c r="G260" s="2">
        <v>0</v>
      </c>
      <c r="H260" s="2">
        <v>0.56559999999999999</v>
      </c>
      <c r="I260" s="2">
        <v>0.19719999999999999</v>
      </c>
      <c r="J260" s="2">
        <v>0</v>
      </c>
      <c r="K260" s="2">
        <v>6.4855</v>
      </c>
      <c r="L260" s="2">
        <v>8.6998999999999995</v>
      </c>
      <c r="M260" s="20" t="str">
        <f t="shared" si="16"/>
        <v>0.00</v>
      </c>
      <c r="N260" s="21">
        <f t="shared" si="17"/>
        <v>-0.56559999999999999</v>
      </c>
      <c r="O260" s="21">
        <f t="shared" si="18"/>
        <v>-2.2143999999999995</v>
      </c>
      <c r="P260" s="21">
        <f t="shared" si="19"/>
        <v>-6.4855</v>
      </c>
    </row>
    <row r="261" spans="1:16" ht="15" customHeight="1" x14ac:dyDescent="0.3">
      <c r="A261" s="7" t="s">
        <v>257</v>
      </c>
      <c r="B261" s="7" t="s">
        <v>548</v>
      </c>
      <c r="C261" s="3" t="s">
        <v>750</v>
      </c>
      <c r="D261" s="8" t="s">
        <v>1</v>
      </c>
      <c r="E261" s="8" t="s">
        <v>5</v>
      </c>
      <c r="F261" s="6">
        <v>72</v>
      </c>
      <c r="G261" s="2">
        <v>11.936500000000001</v>
      </c>
      <c r="H261" s="2">
        <v>11.3424</v>
      </c>
      <c r="I261" s="2">
        <v>2.8279999999999998</v>
      </c>
      <c r="J261" s="2">
        <v>494.98500000000001</v>
      </c>
      <c r="K261" s="2">
        <v>456.52679999999998</v>
      </c>
      <c r="L261" s="2">
        <v>127.90179999999999</v>
      </c>
      <c r="M261" s="20" t="str">
        <f t="shared" si="16"/>
        <v>-4.98</v>
      </c>
      <c r="N261" s="21">
        <f t="shared" si="17"/>
        <v>0.59410000000000096</v>
      </c>
      <c r="O261" s="21">
        <f t="shared" si="18"/>
        <v>328.625</v>
      </c>
      <c r="P261" s="21">
        <f t="shared" si="19"/>
        <v>38.458200000000033</v>
      </c>
    </row>
    <row r="262" spans="1:16" ht="15" customHeight="1" x14ac:dyDescent="0.3">
      <c r="A262" s="7" t="s">
        <v>258</v>
      </c>
      <c r="B262" s="7" t="s">
        <v>548</v>
      </c>
      <c r="C262" s="3" t="s">
        <v>750</v>
      </c>
      <c r="D262" s="8" t="s">
        <v>1</v>
      </c>
      <c r="E262" s="8" t="s">
        <v>12</v>
      </c>
      <c r="F262" s="6">
        <v>72</v>
      </c>
      <c r="G262" s="2">
        <v>16.799600000000002</v>
      </c>
      <c r="H262" s="2">
        <v>11.79</v>
      </c>
      <c r="I262" s="2">
        <v>3.1292</v>
      </c>
      <c r="J262" s="2">
        <v>633.09360000000004</v>
      </c>
      <c r="K262" s="2">
        <v>491.60489999999999</v>
      </c>
      <c r="L262" s="2">
        <v>123.1259</v>
      </c>
      <c r="M262" s="20" t="str">
        <f t="shared" si="16"/>
        <v>-29.82</v>
      </c>
      <c r="N262" s="21">
        <f t="shared" si="17"/>
        <v>5.0096000000000025</v>
      </c>
      <c r="O262" s="21">
        <f t="shared" si="18"/>
        <v>368.47899999999998</v>
      </c>
      <c r="P262" s="21">
        <f t="shared" si="19"/>
        <v>141.48870000000005</v>
      </c>
    </row>
    <row r="263" spans="1:16" ht="15" customHeight="1" x14ac:dyDescent="0.3">
      <c r="A263" s="7" t="s">
        <v>259</v>
      </c>
      <c r="B263" s="7" t="s">
        <v>548</v>
      </c>
      <c r="C263" s="3" t="s">
        <v>750</v>
      </c>
      <c r="D263" s="8" t="s">
        <v>1</v>
      </c>
      <c r="E263" s="8" t="s">
        <v>5</v>
      </c>
      <c r="F263" s="6">
        <v>72</v>
      </c>
      <c r="G263" s="2">
        <v>15.0557</v>
      </c>
      <c r="H263" s="2">
        <v>9.7439</v>
      </c>
      <c r="I263" s="2">
        <v>7.3936000000000002</v>
      </c>
      <c r="J263" s="2">
        <v>945.80409999999995</v>
      </c>
      <c r="K263" s="2">
        <v>583.28309999999999</v>
      </c>
      <c r="L263" s="2">
        <v>424.78879999999998</v>
      </c>
      <c r="M263" s="20" t="str">
        <f t="shared" si="16"/>
        <v>-35.28</v>
      </c>
      <c r="N263" s="21">
        <f t="shared" si="17"/>
        <v>5.3117999999999999</v>
      </c>
      <c r="O263" s="21">
        <f t="shared" si="18"/>
        <v>158.49430000000001</v>
      </c>
      <c r="P263" s="21">
        <f t="shared" si="19"/>
        <v>362.52099999999996</v>
      </c>
    </row>
    <row r="264" spans="1:16" ht="15" customHeight="1" x14ac:dyDescent="0.3">
      <c r="A264" s="7" t="s">
        <v>260</v>
      </c>
      <c r="B264" s="7" t="s">
        <v>548</v>
      </c>
      <c r="C264" s="3" t="s">
        <v>750</v>
      </c>
      <c r="D264" s="8" t="s">
        <v>1</v>
      </c>
      <c r="E264" s="8" t="s">
        <v>5</v>
      </c>
      <c r="F264" s="6">
        <v>72</v>
      </c>
      <c r="G264" s="2">
        <v>2.5228000000000002</v>
      </c>
      <c r="H264" s="2">
        <v>0</v>
      </c>
      <c r="I264" s="2">
        <v>0</v>
      </c>
      <c r="J264" s="2">
        <v>102.04300000000001</v>
      </c>
      <c r="K264" s="2">
        <v>0</v>
      </c>
      <c r="L264" s="2">
        <v>0</v>
      </c>
      <c r="M264" s="20" t="str">
        <f t="shared" si="16"/>
        <v>0.00</v>
      </c>
      <c r="N264" s="21">
        <f t="shared" si="17"/>
        <v>2.5228000000000002</v>
      </c>
      <c r="O264" s="21">
        <f t="shared" si="18"/>
        <v>0</v>
      </c>
      <c r="P264" s="21">
        <f t="shared" si="19"/>
        <v>102.04300000000001</v>
      </c>
    </row>
    <row r="265" spans="1:16" ht="15" customHeight="1" x14ac:dyDescent="0.3">
      <c r="A265" s="7" t="s">
        <v>261</v>
      </c>
      <c r="B265" s="7" t="s">
        <v>548</v>
      </c>
      <c r="C265" s="3" t="s">
        <v>750</v>
      </c>
      <c r="D265" s="8" t="s">
        <v>1</v>
      </c>
      <c r="E265" s="8" t="s">
        <v>12</v>
      </c>
      <c r="F265" s="6">
        <v>80</v>
      </c>
      <c r="G265" s="2">
        <v>5.8501000000000003</v>
      </c>
      <c r="H265" s="2">
        <v>3.1604999999999999</v>
      </c>
      <c r="I265" s="2">
        <v>1.1102000000000001</v>
      </c>
      <c r="J265" s="2">
        <v>279.7971</v>
      </c>
      <c r="K265" s="2">
        <v>133.69110000000001</v>
      </c>
      <c r="L265" s="2">
        <v>49.716799999999999</v>
      </c>
      <c r="M265" s="20" t="str">
        <f t="shared" si="16"/>
        <v>-45.98</v>
      </c>
      <c r="N265" s="21">
        <f t="shared" si="17"/>
        <v>2.6896000000000004</v>
      </c>
      <c r="O265" s="21">
        <f t="shared" si="18"/>
        <v>83.974299999999999</v>
      </c>
      <c r="P265" s="21">
        <f t="shared" si="19"/>
        <v>146.10599999999999</v>
      </c>
    </row>
    <row r="266" spans="1:16" ht="15" customHeight="1" x14ac:dyDescent="0.3">
      <c r="A266" s="7" t="s">
        <v>262</v>
      </c>
      <c r="B266" s="7" t="s">
        <v>548</v>
      </c>
      <c r="C266" s="3" t="s">
        <v>750</v>
      </c>
      <c r="D266" s="8" t="s">
        <v>1</v>
      </c>
      <c r="E266" s="8" t="s">
        <v>2</v>
      </c>
      <c r="F266" s="6">
        <v>80</v>
      </c>
      <c r="G266" s="2">
        <v>3.5649999999999999</v>
      </c>
      <c r="H266" s="2">
        <v>3.9624000000000001</v>
      </c>
      <c r="I266" s="2">
        <v>3.0468999999999999</v>
      </c>
      <c r="J266" s="2">
        <v>186.07509999999999</v>
      </c>
      <c r="K266" s="2">
        <v>188.92570000000001</v>
      </c>
      <c r="L266" s="2">
        <v>146.31370000000001</v>
      </c>
      <c r="M266" s="20" t="str">
        <f t="shared" si="16"/>
        <v>11.15</v>
      </c>
      <c r="N266" s="21">
        <f t="shared" si="17"/>
        <v>-0.3974000000000002</v>
      </c>
      <c r="O266" s="21">
        <f t="shared" si="18"/>
        <v>42.611999999999995</v>
      </c>
      <c r="P266" s="21">
        <f t="shared" si="19"/>
        <v>-2.8506000000000142</v>
      </c>
    </row>
    <row r="267" spans="1:16" ht="15" customHeight="1" x14ac:dyDescent="0.3">
      <c r="A267" s="7" t="s">
        <v>263</v>
      </c>
      <c r="B267" s="7" t="s">
        <v>548</v>
      </c>
      <c r="C267" s="3" t="s">
        <v>750</v>
      </c>
      <c r="D267" s="8" t="s">
        <v>1</v>
      </c>
      <c r="E267" s="8" t="s">
        <v>12</v>
      </c>
      <c r="F267" s="6">
        <v>80</v>
      </c>
      <c r="G267" s="2">
        <v>4.5880999999999998</v>
      </c>
      <c r="H267" s="2">
        <v>5.0932000000000004</v>
      </c>
      <c r="I267" s="2">
        <v>5.0259</v>
      </c>
      <c r="J267" s="2">
        <v>237.0685</v>
      </c>
      <c r="K267" s="2">
        <v>259.80410000000001</v>
      </c>
      <c r="L267" s="2">
        <v>248.8639</v>
      </c>
      <c r="M267" s="20" t="str">
        <f t="shared" si="16"/>
        <v>11.01</v>
      </c>
      <c r="N267" s="21">
        <f t="shared" si="17"/>
        <v>-0.50510000000000055</v>
      </c>
      <c r="O267" s="21">
        <f t="shared" si="18"/>
        <v>10.940200000000004</v>
      </c>
      <c r="P267" s="21">
        <f t="shared" si="19"/>
        <v>-22.735600000000005</v>
      </c>
    </row>
    <row r="268" spans="1:16" ht="15" customHeight="1" x14ac:dyDescent="0.3">
      <c r="A268" s="7" t="s">
        <v>264</v>
      </c>
      <c r="B268" s="7" t="s">
        <v>548</v>
      </c>
      <c r="C268" s="3" t="s">
        <v>750</v>
      </c>
      <c r="D268" s="8" t="s">
        <v>1</v>
      </c>
      <c r="E268" s="8" t="s">
        <v>2</v>
      </c>
      <c r="F268" s="6">
        <v>96</v>
      </c>
      <c r="G268" s="2">
        <v>0</v>
      </c>
      <c r="H268" s="2">
        <v>7.0000000000000001E-3</v>
      </c>
      <c r="I268" s="2">
        <v>0</v>
      </c>
      <c r="J268" s="2">
        <v>0</v>
      </c>
      <c r="K268" s="2">
        <v>0.32779999999999998</v>
      </c>
      <c r="L268" s="2">
        <v>0</v>
      </c>
      <c r="M268" s="20" t="str">
        <f t="shared" si="16"/>
        <v>0.00</v>
      </c>
      <c r="N268" s="21">
        <f t="shared" si="17"/>
        <v>-7.0000000000000001E-3</v>
      </c>
      <c r="O268" s="21">
        <f t="shared" si="18"/>
        <v>0.32779999999999998</v>
      </c>
      <c r="P268" s="21">
        <f t="shared" si="19"/>
        <v>-0.32779999999999998</v>
      </c>
    </row>
    <row r="269" spans="1:16" ht="15" customHeight="1" x14ac:dyDescent="0.3">
      <c r="A269" s="7" t="s">
        <v>265</v>
      </c>
      <c r="B269" s="7" t="s">
        <v>548</v>
      </c>
      <c r="C269" s="3" t="s">
        <v>667</v>
      </c>
      <c r="D269" s="8" t="s">
        <v>1</v>
      </c>
      <c r="E269" s="8" t="s">
        <v>5</v>
      </c>
      <c r="F269" s="6">
        <v>120</v>
      </c>
      <c r="G269" s="2">
        <v>3.0200000000000001E-2</v>
      </c>
      <c r="H269" s="2">
        <v>2.0104000000000002</v>
      </c>
      <c r="I269" s="2">
        <v>1.0045999999999999</v>
      </c>
      <c r="J269" s="2">
        <v>1.4571000000000001</v>
      </c>
      <c r="K269" s="2">
        <v>118.0438</v>
      </c>
      <c r="L269" s="2">
        <v>56.873399999999997</v>
      </c>
      <c r="M269" s="20" t="str">
        <f t="shared" si="16"/>
        <v>6556.95</v>
      </c>
      <c r="N269" s="21">
        <f t="shared" si="17"/>
        <v>-1.9802000000000002</v>
      </c>
      <c r="O269" s="21">
        <f t="shared" si="18"/>
        <v>61.170400000000008</v>
      </c>
      <c r="P269" s="21">
        <f t="shared" si="19"/>
        <v>-116.58670000000001</v>
      </c>
    </row>
    <row r="270" spans="1:16" ht="15" customHeight="1" x14ac:dyDescent="0.3">
      <c r="A270" s="7" t="s">
        <v>266</v>
      </c>
      <c r="B270" s="7" t="s">
        <v>548</v>
      </c>
      <c r="C270" s="3" t="s">
        <v>668</v>
      </c>
      <c r="D270" s="8" t="s">
        <v>1</v>
      </c>
      <c r="E270" s="8" t="s">
        <v>2</v>
      </c>
      <c r="F270" s="6">
        <v>72</v>
      </c>
      <c r="G270" s="2">
        <v>0.1913</v>
      </c>
      <c r="H270" s="2">
        <v>0.55200000000000005</v>
      </c>
      <c r="I270" s="2">
        <v>4.3700000000000003E-2</v>
      </c>
      <c r="J270" s="2">
        <v>6.9211999999999998</v>
      </c>
      <c r="K270" s="2">
        <v>19.9695</v>
      </c>
      <c r="L270" s="2">
        <v>1.2094</v>
      </c>
      <c r="M270" s="20" t="str">
        <f t="shared" si="16"/>
        <v>188.55</v>
      </c>
      <c r="N270" s="21">
        <f t="shared" si="17"/>
        <v>-0.36070000000000002</v>
      </c>
      <c r="O270" s="21">
        <f t="shared" si="18"/>
        <v>18.760100000000001</v>
      </c>
      <c r="P270" s="21">
        <f t="shared" si="19"/>
        <v>-13.048300000000001</v>
      </c>
    </row>
    <row r="271" spans="1:16" ht="15" customHeight="1" x14ac:dyDescent="0.3">
      <c r="A271" s="7" t="s">
        <v>267</v>
      </c>
      <c r="B271" s="7" t="s">
        <v>549</v>
      </c>
      <c r="C271" s="3" t="s">
        <v>669</v>
      </c>
      <c r="D271" s="8" t="s">
        <v>1</v>
      </c>
      <c r="E271" s="8" t="s">
        <v>5</v>
      </c>
      <c r="F271" s="6">
        <v>40</v>
      </c>
      <c r="G271" s="2">
        <v>2.6700000000000002E-2</v>
      </c>
      <c r="H271" s="2">
        <v>6.6E-3</v>
      </c>
      <c r="I271" s="2">
        <v>0</v>
      </c>
      <c r="J271" s="2">
        <v>1.3361000000000001</v>
      </c>
      <c r="K271" s="2">
        <v>0.32919999999999999</v>
      </c>
      <c r="L271" s="2">
        <v>0</v>
      </c>
      <c r="M271" s="20" t="str">
        <f t="shared" si="16"/>
        <v>-75.28</v>
      </c>
      <c r="N271" s="21">
        <f t="shared" si="17"/>
        <v>2.01E-2</v>
      </c>
      <c r="O271" s="21">
        <f t="shared" si="18"/>
        <v>0.32919999999999999</v>
      </c>
      <c r="P271" s="21">
        <f t="shared" si="19"/>
        <v>1.0069000000000001</v>
      </c>
    </row>
    <row r="272" spans="1:16" ht="15" customHeight="1" x14ac:dyDescent="0.3">
      <c r="A272" s="7" t="s">
        <v>268</v>
      </c>
      <c r="B272" s="7" t="s">
        <v>549</v>
      </c>
      <c r="C272" s="3" t="s">
        <v>669</v>
      </c>
      <c r="D272" s="8" t="s">
        <v>1</v>
      </c>
      <c r="E272" s="8" t="s">
        <v>41</v>
      </c>
      <c r="F272" s="6">
        <v>90</v>
      </c>
      <c r="G272" s="2">
        <v>6.93E-2</v>
      </c>
      <c r="H272" s="2">
        <v>0.19889999999999999</v>
      </c>
      <c r="I272" s="2">
        <v>0</v>
      </c>
      <c r="J272" s="2">
        <v>3.0247000000000002</v>
      </c>
      <c r="K272" s="2">
        <v>8.6912000000000003</v>
      </c>
      <c r="L272" s="2">
        <v>0</v>
      </c>
      <c r="M272" s="20" t="str">
        <f t="shared" si="16"/>
        <v>187.01</v>
      </c>
      <c r="N272" s="21">
        <f t="shared" si="17"/>
        <v>-0.12959999999999999</v>
      </c>
      <c r="O272" s="21">
        <f t="shared" si="18"/>
        <v>8.6912000000000003</v>
      </c>
      <c r="P272" s="21">
        <f t="shared" si="19"/>
        <v>-5.6665000000000001</v>
      </c>
    </row>
    <row r="273" spans="1:16" ht="15" customHeight="1" x14ac:dyDescent="0.3">
      <c r="A273" s="7" t="s">
        <v>269</v>
      </c>
      <c r="B273" s="7" t="s">
        <v>549</v>
      </c>
      <c r="C273" s="3" t="s">
        <v>669</v>
      </c>
      <c r="D273" s="8" t="s">
        <v>1</v>
      </c>
      <c r="E273" s="8" t="s">
        <v>41</v>
      </c>
      <c r="F273" s="6">
        <v>90</v>
      </c>
      <c r="G273" s="2">
        <v>7.6300000000000007E-2</v>
      </c>
      <c r="H273" s="2">
        <v>0.42759999999999998</v>
      </c>
      <c r="I273" s="2">
        <v>0.15670000000000001</v>
      </c>
      <c r="J273" s="2">
        <v>3.4260000000000002</v>
      </c>
      <c r="K273" s="2">
        <v>18.685099999999998</v>
      </c>
      <c r="L273" s="2">
        <v>6.8449999999999998</v>
      </c>
      <c r="M273" s="20" t="str">
        <f t="shared" si="16"/>
        <v>460.42</v>
      </c>
      <c r="N273" s="21">
        <f t="shared" si="17"/>
        <v>-0.35129999999999995</v>
      </c>
      <c r="O273" s="21">
        <f t="shared" si="18"/>
        <v>11.8401</v>
      </c>
      <c r="P273" s="21">
        <f t="shared" si="19"/>
        <v>-15.259099999999998</v>
      </c>
    </row>
    <row r="274" spans="1:16" ht="15" customHeight="1" x14ac:dyDescent="0.3">
      <c r="A274" s="7" t="s">
        <v>270</v>
      </c>
      <c r="B274" s="7" t="s">
        <v>550</v>
      </c>
      <c r="C274" s="3" t="s">
        <v>670</v>
      </c>
      <c r="D274" s="8" t="s">
        <v>1</v>
      </c>
      <c r="E274" s="8" t="s">
        <v>2</v>
      </c>
      <c r="F274" s="6">
        <v>64</v>
      </c>
      <c r="G274" s="2">
        <v>13.539</v>
      </c>
      <c r="H274" s="2">
        <v>14.939299999999999</v>
      </c>
      <c r="I274" s="2">
        <v>5.9192</v>
      </c>
      <c r="J274" s="2">
        <v>399.25150000000002</v>
      </c>
      <c r="K274" s="2">
        <v>471.38619999999997</v>
      </c>
      <c r="L274" s="2">
        <v>172.6644</v>
      </c>
      <c r="M274" s="20" t="str">
        <f t="shared" si="16"/>
        <v>10.34</v>
      </c>
      <c r="N274" s="21">
        <f t="shared" si="17"/>
        <v>-1.4002999999999997</v>
      </c>
      <c r="O274" s="21">
        <f t="shared" si="18"/>
        <v>298.72179999999997</v>
      </c>
      <c r="P274" s="21">
        <f t="shared" si="19"/>
        <v>-72.134699999999953</v>
      </c>
    </row>
    <row r="275" spans="1:16" ht="15" customHeight="1" x14ac:dyDescent="0.3">
      <c r="A275" s="7" t="s">
        <v>271</v>
      </c>
      <c r="B275" s="7" t="s">
        <v>550</v>
      </c>
      <c r="C275" s="3" t="s">
        <v>670</v>
      </c>
      <c r="D275" s="8" t="s">
        <v>1</v>
      </c>
      <c r="E275" s="8" t="s">
        <v>2</v>
      </c>
      <c r="F275" s="6">
        <v>64</v>
      </c>
      <c r="G275" s="2">
        <v>9.7232000000000003</v>
      </c>
      <c r="H275" s="2">
        <v>14.417199999999999</v>
      </c>
      <c r="I275" s="2">
        <v>5.9874999999999998</v>
      </c>
      <c r="J275" s="2">
        <v>300.88780000000003</v>
      </c>
      <c r="K275" s="2">
        <v>488.67129999999997</v>
      </c>
      <c r="L275" s="2">
        <v>199.4579</v>
      </c>
      <c r="M275" s="20" t="str">
        <f t="shared" si="16"/>
        <v>48.28</v>
      </c>
      <c r="N275" s="21">
        <f t="shared" si="17"/>
        <v>-4.6939999999999991</v>
      </c>
      <c r="O275" s="21">
        <f t="shared" si="18"/>
        <v>289.21339999999998</v>
      </c>
      <c r="P275" s="21">
        <f t="shared" si="19"/>
        <v>-187.78349999999995</v>
      </c>
    </row>
    <row r="276" spans="1:16" ht="15" customHeight="1" x14ac:dyDescent="0.3">
      <c r="A276" s="7" t="s">
        <v>272</v>
      </c>
      <c r="B276" s="7" t="s">
        <v>550</v>
      </c>
      <c r="C276" s="3" t="s">
        <v>670</v>
      </c>
      <c r="D276" s="8" t="s">
        <v>1</v>
      </c>
      <c r="E276" s="8" t="s">
        <v>5</v>
      </c>
      <c r="F276" s="6">
        <v>72</v>
      </c>
      <c r="G276" s="2">
        <v>0.4834</v>
      </c>
      <c r="H276" s="2">
        <v>0</v>
      </c>
      <c r="I276" s="2">
        <v>0</v>
      </c>
      <c r="J276" s="2">
        <v>12.901899999999999</v>
      </c>
      <c r="K276" s="2">
        <v>0</v>
      </c>
      <c r="L276" s="2">
        <v>0</v>
      </c>
      <c r="M276" s="20" t="str">
        <f t="shared" si="16"/>
        <v>0.00</v>
      </c>
      <c r="N276" s="21">
        <f t="shared" si="17"/>
        <v>0.4834</v>
      </c>
      <c r="O276" s="21">
        <f t="shared" si="18"/>
        <v>0</v>
      </c>
      <c r="P276" s="21">
        <f t="shared" si="19"/>
        <v>12.901899999999999</v>
      </c>
    </row>
    <row r="277" spans="1:16" ht="15" customHeight="1" x14ac:dyDescent="0.3">
      <c r="A277" s="7" t="s">
        <v>273</v>
      </c>
      <c r="B277" s="7" t="s">
        <v>551</v>
      </c>
      <c r="C277" s="3" t="s">
        <v>753</v>
      </c>
      <c r="D277" s="8" t="s">
        <v>1</v>
      </c>
      <c r="E277" s="8" t="s">
        <v>41</v>
      </c>
      <c r="F277" s="6">
        <v>60</v>
      </c>
      <c r="G277" s="2">
        <v>0.13550000000000001</v>
      </c>
      <c r="H277" s="2">
        <v>0</v>
      </c>
      <c r="I277" s="2">
        <v>0</v>
      </c>
      <c r="J277" s="2">
        <v>3.2519</v>
      </c>
      <c r="K277" s="2">
        <v>0</v>
      </c>
      <c r="L277" s="2">
        <v>0</v>
      </c>
      <c r="M277" s="20" t="str">
        <f t="shared" si="16"/>
        <v>0.00</v>
      </c>
      <c r="N277" s="21">
        <f t="shared" si="17"/>
        <v>0.13550000000000001</v>
      </c>
      <c r="O277" s="21">
        <f t="shared" si="18"/>
        <v>0</v>
      </c>
      <c r="P277" s="21">
        <f t="shared" si="19"/>
        <v>3.2519</v>
      </c>
    </row>
    <row r="278" spans="1:16" ht="15" customHeight="1" x14ac:dyDescent="0.3">
      <c r="A278" s="7" t="s">
        <v>274</v>
      </c>
      <c r="B278" s="7" t="s">
        <v>552</v>
      </c>
      <c r="C278" s="3" t="s">
        <v>627</v>
      </c>
      <c r="D278" s="8" t="s">
        <v>1</v>
      </c>
      <c r="E278" s="8" t="s">
        <v>181</v>
      </c>
      <c r="F278" s="6">
        <v>12</v>
      </c>
      <c r="G278" s="2">
        <v>0</v>
      </c>
      <c r="H278" s="2">
        <v>2.3E-3</v>
      </c>
      <c r="I278" s="2">
        <v>0</v>
      </c>
      <c r="J278" s="2">
        <v>0</v>
      </c>
      <c r="K278" s="2">
        <v>4.8000000000000001E-2</v>
      </c>
      <c r="L278" s="2">
        <v>0</v>
      </c>
      <c r="M278" s="20" t="str">
        <f t="shared" si="16"/>
        <v>0.00</v>
      </c>
      <c r="N278" s="21">
        <f t="shared" si="17"/>
        <v>-2.3E-3</v>
      </c>
      <c r="O278" s="21">
        <f t="shared" si="18"/>
        <v>4.8000000000000001E-2</v>
      </c>
      <c r="P278" s="21">
        <f t="shared" si="19"/>
        <v>-4.8000000000000001E-2</v>
      </c>
    </row>
    <row r="279" spans="1:16" ht="15" customHeight="1" x14ac:dyDescent="0.3">
      <c r="A279" s="7" t="s">
        <v>275</v>
      </c>
      <c r="B279" s="7" t="s">
        <v>552</v>
      </c>
      <c r="C279" s="3" t="s">
        <v>627</v>
      </c>
      <c r="D279" s="8" t="s">
        <v>1</v>
      </c>
      <c r="E279" s="8" t="s">
        <v>181</v>
      </c>
      <c r="F279" s="6">
        <v>12</v>
      </c>
      <c r="G279" s="2">
        <v>3.7978999999999998</v>
      </c>
      <c r="H279" s="2">
        <v>0.23119999999999999</v>
      </c>
      <c r="I279" s="2">
        <v>5.57E-2</v>
      </c>
      <c r="J279" s="2">
        <v>45.909399999999998</v>
      </c>
      <c r="K279" s="2">
        <v>3.0430999999999999</v>
      </c>
      <c r="L279" s="2">
        <v>0.74270000000000003</v>
      </c>
      <c r="M279" s="20" t="str">
        <f t="shared" si="16"/>
        <v>-93.91</v>
      </c>
      <c r="N279" s="21">
        <f t="shared" si="17"/>
        <v>3.5667</v>
      </c>
      <c r="O279" s="21">
        <f t="shared" si="18"/>
        <v>2.3003999999999998</v>
      </c>
      <c r="P279" s="21">
        <f t="shared" si="19"/>
        <v>42.866299999999995</v>
      </c>
    </row>
    <row r="280" spans="1:16" ht="15" customHeight="1" x14ac:dyDescent="0.3">
      <c r="A280" s="7" t="s">
        <v>276</v>
      </c>
      <c r="B280" s="7" t="s">
        <v>552</v>
      </c>
      <c r="C280" s="3" t="s">
        <v>627</v>
      </c>
      <c r="D280" s="8" t="s">
        <v>1</v>
      </c>
      <c r="E280" s="8" t="s">
        <v>181</v>
      </c>
      <c r="F280" s="6">
        <v>12</v>
      </c>
      <c r="G280" s="2">
        <v>10.1713</v>
      </c>
      <c r="H280" s="2">
        <v>1.4034</v>
      </c>
      <c r="I280" s="2">
        <v>0.79169999999999996</v>
      </c>
      <c r="J280" s="2">
        <v>191.46350000000001</v>
      </c>
      <c r="K280" s="2">
        <v>25.065200000000001</v>
      </c>
      <c r="L280" s="2">
        <v>12.493499999999999</v>
      </c>
      <c r="M280" s="20" t="str">
        <f t="shared" si="16"/>
        <v>-86.20</v>
      </c>
      <c r="N280" s="21">
        <f t="shared" si="17"/>
        <v>8.7679000000000009</v>
      </c>
      <c r="O280" s="21">
        <f t="shared" si="18"/>
        <v>12.571700000000002</v>
      </c>
      <c r="P280" s="21">
        <f t="shared" si="19"/>
        <v>166.39830000000001</v>
      </c>
    </row>
    <row r="281" spans="1:16" ht="15" customHeight="1" x14ac:dyDescent="0.3">
      <c r="A281" s="7" t="s">
        <v>277</v>
      </c>
      <c r="B281" s="7" t="s">
        <v>552</v>
      </c>
      <c r="C281" s="3" t="s">
        <v>627</v>
      </c>
      <c r="D281" s="8" t="s">
        <v>1</v>
      </c>
      <c r="E281" s="8" t="s">
        <v>181</v>
      </c>
      <c r="F281" s="6">
        <v>20</v>
      </c>
      <c r="G281" s="2">
        <v>8.9099999999999999E-2</v>
      </c>
      <c r="H281" s="2">
        <v>0</v>
      </c>
      <c r="I281" s="2">
        <v>0</v>
      </c>
      <c r="J281" s="2">
        <v>1.4943</v>
      </c>
      <c r="K281" s="2">
        <v>0</v>
      </c>
      <c r="L281" s="2">
        <v>0</v>
      </c>
      <c r="M281" s="20" t="str">
        <f t="shared" si="16"/>
        <v>0.00</v>
      </c>
      <c r="N281" s="21">
        <f t="shared" si="17"/>
        <v>8.9099999999999999E-2</v>
      </c>
      <c r="O281" s="21">
        <f t="shared" si="18"/>
        <v>0</v>
      </c>
      <c r="P281" s="21">
        <f t="shared" si="19"/>
        <v>1.4943</v>
      </c>
    </row>
    <row r="282" spans="1:16" ht="15" customHeight="1" x14ac:dyDescent="0.3">
      <c r="A282" s="7" t="s">
        <v>278</v>
      </c>
      <c r="B282" s="7" t="s">
        <v>552</v>
      </c>
      <c r="C282" s="3" t="s">
        <v>627</v>
      </c>
      <c r="D282" s="8" t="s">
        <v>1</v>
      </c>
      <c r="E282" s="8" t="s">
        <v>2</v>
      </c>
      <c r="F282" s="6">
        <v>63</v>
      </c>
      <c r="G282" s="2">
        <v>16.7622</v>
      </c>
      <c r="H282" s="2">
        <v>54.880099999999999</v>
      </c>
      <c r="I282" s="2">
        <v>30.8141</v>
      </c>
      <c r="J282" s="2">
        <v>558.82709999999997</v>
      </c>
      <c r="K282" s="2">
        <v>1712.2448999999999</v>
      </c>
      <c r="L282" s="2">
        <v>842.72770000000003</v>
      </c>
      <c r="M282" s="20" t="str">
        <f t="shared" si="16"/>
        <v>227.40</v>
      </c>
      <c r="N282" s="21">
        <f t="shared" si="17"/>
        <v>-38.117899999999999</v>
      </c>
      <c r="O282" s="21">
        <f t="shared" si="18"/>
        <v>869.51719999999989</v>
      </c>
      <c r="P282" s="21">
        <f t="shared" si="19"/>
        <v>-1153.4177999999999</v>
      </c>
    </row>
    <row r="283" spans="1:16" ht="15" customHeight="1" x14ac:dyDescent="0.3">
      <c r="A283" s="7" t="s">
        <v>279</v>
      </c>
      <c r="B283" s="7" t="s">
        <v>552</v>
      </c>
      <c r="C283" s="3" t="s">
        <v>627</v>
      </c>
      <c r="D283" s="8" t="s">
        <v>1</v>
      </c>
      <c r="E283" s="8" t="s">
        <v>2</v>
      </c>
      <c r="F283" s="6">
        <v>63</v>
      </c>
      <c r="G283" s="2">
        <v>61.024299999999997</v>
      </c>
      <c r="H283" s="2">
        <v>69.369399999999999</v>
      </c>
      <c r="I283" s="2">
        <v>37.2607</v>
      </c>
      <c r="J283" s="2">
        <v>1986.0632000000001</v>
      </c>
      <c r="K283" s="2">
        <v>2074.7809000000002</v>
      </c>
      <c r="L283" s="2">
        <v>1026.0545999999999</v>
      </c>
      <c r="M283" s="20" t="str">
        <f t="shared" si="16"/>
        <v>13.68</v>
      </c>
      <c r="N283" s="21">
        <f t="shared" si="17"/>
        <v>-8.3451000000000022</v>
      </c>
      <c r="O283" s="21">
        <f t="shared" si="18"/>
        <v>1048.7263000000003</v>
      </c>
      <c r="P283" s="21">
        <f t="shared" si="19"/>
        <v>-88.71770000000015</v>
      </c>
    </row>
    <row r="284" spans="1:16" ht="15" customHeight="1" x14ac:dyDescent="0.3">
      <c r="A284" s="7" t="s">
        <v>280</v>
      </c>
      <c r="B284" s="7" t="s">
        <v>552</v>
      </c>
      <c r="C284" s="3" t="s">
        <v>627</v>
      </c>
      <c r="D284" s="8" t="s">
        <v>1</v>
      </c>
      <c r="E284" s="8" t="s">
        <v>41</v>
      </c>
      <c r="F284" s="6">
        <v>63</v>
      </c>
      <c r="G284" s="2">
        <v>99.720299999999995</v>
      </c>
      <c r="H284" s="2">
        <v>82.962900000000005</v>
      </c>
      <c r="I284" s="2">
        <v>1.6460999999999999</v>
      </c>
      <c r="J284" s="2">
        <v>3124.0421999999999</v>
      </c>
      <c r="K284" s="2">
        <v>2460.6639</v>
      </c>
      <c r="L284" s="2">
        <v>45.897799999999997</v>
      </c>
      <c r="M284" s="20" t="str">
        <f t="shared" si="16"/>
        <v>-16.80</v>
      </c>
      <c r="N284" s="21">
        <f t="shared" si="17"/>
        <v>16.75739999999999</v>
      </c>
      <c r="O284" s="21">
        <f t="shared" si="18"/>
        <v>2414.7660999999998</v>
      </c>
      <c r="P284" s="21">
        <f t="shared" si="19"/>
        <v>663.37829999999985</v>
      </c>
    </row>
    <row r="285" spans="1:16" ht="15" customHeight="1" x14ac:dyDescent="0.3">
      <c r="A285" s="7" t="s">
        <v>281</v>
      </c>
      <c r="B285" s="7" t="s">
        <v>552</v>
      </c>
      <c r="C285" s="3" t="s">
        <v>627</v>
      </c>
      <c r="D285" s="8" t="s">
        <v>1</v>
      </c>
      <c r="E285" s="8" t="s">
        <v>2</v>
      </c>
      <c r="F285" s="6">
        <v>72</v>
      </c>
      <c r="G285" s="2">
        <v>86.361699999999999</v>
      </c>
      <c r="H285" s="2">
        <v>101.56570000000001</v>
      </c>
      <c r="I285" s="2">
        <v>54.776899999999998</v>
      </c>
      <c r="J285" s="2">
        <v>3022.1621</v>
      </c>
      <c r="K285" s="2">
        <v>3499.3182999999999</v>
      </c>
      <c r="L285" s="2">
        <v>1704.9738</v>
      </c>
      <c r="M285" s="20" t="str">
        <f t="shared" si="16"/>
        <v>17.61</v>
      </c>
      <c r="N285" s="21">
        <f t="shared" si="17"/>
        <v>-15.204000000000008</v>
      </c>
      <c r="O285" s="21">
        <f t="shared" si="18"/>
        <v>1794.3444999999999</v>
      </c>
      <c r="P285" s="21">
        <f t="shared" si="19"/>
        <v>-477.1561999999999</v>
      </c>
    </row>
    <row r="286" spans="1:16" ht="15" customHeight="1" x14ac:dyDescent="0.3">
      <c r="A286" s="7" t="s">
        <v>282</v>
      </c>
      <c r="B286" s="7" t="s">
        <v>552</v>
      </c>
      <c r="C286" s="3" t="s">
        <v>751</v>
      </c>
      <c r="D286" s="8" t="s">
        <v>1</v>
      </c>
      <c r="E286" s="8" t="s">
        <v>41</v>
      </c>
      <c r="F286" s="6">
        <v>54</v>
      </c>
      <c r="G286" s="2">
        <v>23.7104</v>
      </c>
      <c r="H286" s="2">
        <v>2.5188000000000001</v>
      </c>
      <c r="I286" s="2">
        <v>0.15770000000000001</v>
      </c>
      <c r="J286" s="2">
        <v>549.04570000000001</v>
      </c>
      <c r="K286" s="2">
        <v>49.080599999999997</v>
      </c>
      <c r="L286" s="2">
        <v>2.9064000000000001</v>
      </c>
      <c r="M286" s="20" t="str">
        <f t="shared" si="16"/>
        <v>-89.38</v>
      </c>
      <c r="N286" s="21">
        <f t="shared" si="17"/>
        <v>21.191600000000001</v>
      </c>
      <c r="O286" s="21">
        <f t="shared" si="18"/>
        <v>46.174199999999999</v>
      </c>
      <c r="P286" s="21">
        <f t="shared" si="19"/>
        <v>499.96510000000001</v>
      </c>
    </row>
    <row r="287" spans="1:16" ht="15" customHeight="1" x14ac:dyDescent="0.3">
      <c r="A287" s="7" t="s">
        <v>283</v>
      </c>
      <c r="B287" s="7" t="s">
        <v>552</v>
      </c>
      <c r="C287" s="3" t="s">
        <v>751</v>
      </c>
      <c r="D287" s="8" t="s">
        <v>1</v>
      </c>
      <c r="E287" s="8" t="s">
        <v>41</v>
      </c>
      <c r="F287" s="6">
        <v>54</v>
      </c>
      <c r="G287" s="2">
        <v>34.488300000000002</v>
      </c>
      <c r="H287" s="2">
        <v>5.6889000000000003</v>
      </c>
      <c r="I287" s="2">
        <v>0.2626</v>
      </c>
      <c r="J287" s="2">
        <v>739.96220000000005</v>
      </c>
      <c r="K287" s="2">
        <v>104.66840000000001</v>
      </c>
      <c r="L287" s="2">
        <v>4.7222</v>
      </c>
      <c r="M287" s="20" t="str">
        <f t="shared" si="16"/>
        <v>-83.50</v>
      </c>
      <c r="N287" s="21">
        <f t="shared" si="17"/>
        <v>28.799400000000002</v>
      </c>
      <c r="O287" s="21">
        <f t="shared" si="18"/>
        <v>99.946200000000005</v>
      </c>
      <c r="P287" s="21">
        <f t="shared" si="19"/>
        <v>635.29380000000003</v>
      </c>
    </row>
    <row r="288" spans="1:16" ht="15" customHeight="1" x14ac:dyDescent="0.3">
      <c r="A288" s="7" t="s">
        <v>284</v>
      </c>
      <c r="B288" s="7" t="s">
        <v>552</v>
      </c>
      <c r="C288" s="3" t="s">
        <v>751</v>
      </c>
      <c r="D288" s="8" t="s">
        <v>1</v>
      </c>
      <c r="E288" s="8" t="s">
        <v>41</v>
      </c>
      <c r="F288" s="6">
        <v>54</v>
      </c>
      <c r="G288" s="2">
        <v>0.31869999999999998</v>
      </c>
      <c r="H288" s="2">
        <v>0</v>
      </c>
      <c r="I288" s="2">
        <v>0</v>
      </c>
      <c r="J288" s="2">
        <v>6.5327000000000002</v>
      </c>
      <c r="K288" s="2">
        <v>0</v>
      </c>
      <c r="L288" s="2">
        <v>0</v>
      </c>
      <c r="M288" s="20" t="str">
        <f t="shared" si="16"/>
        <v>0.00</v>
      </c>
      <c r="N288" s="21">
        <f t="shared" si="17"/>
        <v>0.31869999999999998</v>
      </c>
      <c r="O288" s="21">
        <f t="shared" si="18"/>
        <v>0</v>
      </c>
      <c r="P288" s="21">
        <f t="shared" si="19"/>
        <v>6.5327000000000002</v>
      </c>
    </row>
    <row r="289" spans="1:16" ht="15" customHeight="1" x14ac:dyDescent="0.3">
      <c r="A289" s="7" t="s">
        <v>285</v>
      </c>
      <c r="B289" s="7" t="s">
        <v>552</v>
      </c>
      <c r="C289" s="3" t="s">
        <v>751</v>
      </c>
      <c r="D289" s="8" t="s">
        <v>1</v>
      </c>
      <c r="E289" s="8" t="s">
        <v>41</v>
      </c>
      <c r="F289" s="6">
        <v>54</v>
      </c>
      <c r="G289" s="2">
        <v>7.1499999999999994E-2</v>
      </c>
      <c r="H289" s="2">
        <v>0</v>
      </c>
      <c r="I289" s="2">
        <v>0</v>
      </c>
      <c r="J289" s="2">
        <v>1.2682</v>
      </c>
      <c r="K289" s="2">
        <v>0</v>
      </c>
      <c r="L289" s="2">
        <v>0</v>
      </c>
      <c r="M289" s="20" t="str">
        <f t="shared" si="16"/>
        <v>0.00</v>
      </c>
      <c r="N289" s="21">
        <f t="shared" si="17"/>
        <v>7.1499999999999994E-2</v>
      </c>
      <c r="O289" s="21">
        <f t="shared" si="18"/>
        <v>0</v>
      </c>
      <c r="P289" s="21">
        <f t="shared" si="19"/>
        <v>1.2682</v>
      </c>
    </row>
    <row r="290" spans="1:16" ht="15" customHeight="1" x14ac:dyDescent="0.3">
      <c r="A290" s="7" t="s">
        <v>286</v>
      </c>
      <c r="B290" s="7" t="s">
        <v>553</v>
      </c>
      <c r="C290" s="3" t="s">
        <v>671</v>
      </c>
      <c r="D290" s="8" t="s">
        <v>1</v>
      </c>
      <c r="E290" s="8" t="s">
        <v>45</v>
      </c>
      <c r="F290" s="6">
        <v>72</v>
      </c>
      <c r="G290" s="2">
        <v>0</v>
      </c>
      <c r="H290" s="2">
        <v>6.2138</v>
      </c>
      <c r="I290" s="2">
        <v>8.77E-2</v>
      </c>
      <c r="J290" s="2">
        <v>0</v>
      </c>
      <c r="K290" s="2">
        <v>384.83499999999998</v>
      </c>
      <c r="L290" s="2">
        <v>5.7408999999999999</v>
      </c>
      <c r="M290" s="20" t="str">
        <f t="shared" si="16"/>
        <v>0.00</v>
      </c>
      <c r="N290" s="21">
        <f t="shared" si="17"/>
        <v>-6.2138</v>
      </c>
      <c r="O290" s="21">
        <f t="shared" si="18"/>
        <v>379.09409999999997</v>
      </c>
      <c r="P290" s="21">
        <f t="shared" si="19"/>
        <v>-384.83499999999998</v>
      </c>
    </row>
    <row r="291" spans="1:16" ht="15" customHeight="1" x14ac:dyDescent="0.3">
      <c r="A291" s="7" t="s">
        <v>287</v>
      </c>
      <c r="B291" s="7" t="s">
        <v>554</v>
      </c>
      <c r="C291" s="3" t="s">
        <v>672</v>
      </c>
      <c r="D291" s="8" t="s">
        <v>1</v>
      </c>
      <c r="E291" s="8" t="s">
        <v>41</v>
      </c>
      <c r="F291" s="6">
        <v>100</v>
      </c>
      <c r="G291" s="2">
        <v>2.8529</v>
      </c>
      <c r="H291" s="2">
        <v>0</v>
      </c>
      <c r="I291" s="2">
        <v>0</v>
      </c>
      <c r="J291" s="2">
        <v>195.97380000000001</v>
      </c>
      <c r="K291" s="2">
        <v>0</v>
      </c>
      <c r="L291" s="2">
        <v>0</v>
      </c>
      <c r="M291" s="20" t="str">
        <f t="shared" si="16"/>
        <v>0.00</v>
      </c>
      <c r="N291" s="21">
        <f t="shared" si="17"/>
        <v>2.8529</v>
      </c>
      <c r="O291" s="21">
        <f t="shared" si="18"/>
        <v>0</v>
      </c>
      <c r="P291" s="21">
        <f t="shared" si="19"/>
        <v>195.97380000000001</v>
      </c>
    </row>
    <row r="292" spans="1:16" ht="15" customHeight="1" x14ac:dyDescent="0.3">
      <c r="A292" s="7" t="s">
        <v>288</v>
      </c>
      <c r="B292" s="7" t="s">
        <v>554</v>
      </c>
      <c r="C292" s="3" t="s">
        <v>672</v>
      </c>
      <c r="D292" s="8" t="s">
        <v>1</v>
      </c>
      <c r="E292" s="8" t="s">
        <v>41</v>
      </c>
      <c r="F292" s="6">
        <v>100</v>
      </c>
      <c r="G292" s="2">
        <v>13.515499999999999</v>
      </c>
      <c r="H292" s="2">
        <v>1.9742999999999999</v>
      </c>
      <c r="I292" s="2">
        <v>2.98E-2</v>
      </c>
      <c r="J292" s="2">
        <v>813.32730000000004</v>
      </c>
      <c r="K292" s="2">
        <v>103.7679</v>
      </c>
      <c r="L292" s="2">
        <v>1.4246000000000001</v>
      </c>
      <c r="M292" s="20" t="str">
        <f t="shared" si="16"/>
        <v>-85.39</v>
      </c>
      <c r="N292" s="21">
        <f t="shared" si="17"/>
        <v>11.5412</v>
      </c>
      <c r="O292" s="21">
        <f t="shared" si="18"/>
        <v>102.3433</v>
      </c>
      <c r="P292" s="21">
        <f t="shared" si="19"/>
        <v>709.5594000000001</v>
      </c>
    </row>
    <row r="293" spans="1:16" ht="15" customHeight="1" x14ac:dyDescent="0.3">
      <c r="A293" s="7" t="s">
        <v>289</v>
      </c>
      <c r="B293" s="7" t="s">
        <v>554</v>
      </c>
      <c r="C293" s="3" t="s">
        <v>672</v>
      </c>
      <c r="D293" s="8" t="s">
        <v>1</v>
      </c>
      <c r="E293" s="8" t="s">
        <v>41</v>
      </c>
      <c r="F293" s="6">
        <v>120</v>
      </c>
      <c r="G293" s="2">
        <v>0</v>
      </c>
      <c r="H293" s="2">
        <v>47.540100000000002</v>
      </c>
      <c r="I293" s="2">
        <v>13.0617</v>
      </c>
      <c r="J293" s="2">
        <v>0</v>
      </c>
      <c r="K293" s="2">
        <v>2356.4949999999999</v>
      </c>
      <c r="L293" s="2">
        <v>720.12469999999996</v>
      </c>
      <c r="M293" s="20" t="str">
        <f t="shared" si="16"/>
        <v>0.00</v>
      </c>
      <c r="N293" s="21">
        <f t="shared" si="17"/>
        <v>-47.540100000000002</v>
      </c>
      <c r="O293" s="21">
        <f t="shared" si="18"/>
        <v>1636.3703</v>
      </c>
      <c r="P293" s="21">
        <f t="shared" si="19"/>
        <v>-2356.4949999999999</v>
      </c>
    </row>
    <row r="294" spans="1:16" ht="15" customHeight="1" x14ac:dyDescent="0.3">
      <c r="A294" s="7" t="s">
        <v>290</v>
      </c>
      <c r="B294" s="7" t="s">
        <v>554</v>
      </c>
      <c r="C294" s="3" t="s">
        <v>672</v>
      </c>
      <c r="D294" s="8" t="s">
        <v>1</v>
      </c>
      <c r="E294" s="8" t="s">
        <v>41</v>
      </c>
      <c r="F294" s="6">
        <v>70</v>
      </c>
      <c r="G294" s="2">
        <v>4.0548000000000002</v>
      </c>
      <c r="H294" s="2">
        <v>2.4268999999999998</v>
      </c>
      <c r="I294" s="2">
        <v>0</v>
      </c>
      <c r="J294" s="2">
        <v>220.69159999999999</v>
      </c>
      <c r="K294" s="2">
        <v>134.58930000000001</v>
      </c>
      <c r="L294" s="2">
        <v>0</v>
      </c>
      <c r="M294" s="20" t="str">
        <f t="shared" si="16"/>
        <v>-40.15</v>
      </c>
      <c r="N294" s="21">
        <f t="shared" si="17"/>
        <v>1.6279000000000003</v>
      </c>
      <c r="O294" s="21">
        <f t="shared" si="18"/>
        <v>134.58930000000001</v>
      </c>
      <c r="P294" s="21">
        <f t="shared" si="19"/>
        <v>86.102299999999985</v>
      </c>
    </row>
    <row r="295" spans="1:16" ht="15" customHeight="1" x14ac:dyDescent="0.3">
      <c r="A295" s="7" t="s">
        <v>291</v>
      </c>
      <c r="B295" s="7" t="s">
        <v>554</v>
      </c>
      <c r="C295" s="3" t="s">
        <v>752</v>
      </c>
      <c r="D295" s="8" t="s">
        <v>1</v>
      </c>
      <c r="E295" s="8" t="s">
        <v>5</v>
      </c>
      <c r="F295" s="6">
        <v>70</v>
      </c>
      <c r="G295" s="2">
        <v>42.300199999999997</v>
      </c>
      <c r="H295" s="2">
        <v>20.829499999999999</v>
      </c>
      <c r="I295" s="2">
        <v>4.8948</v>
      </c>
      <c r="J295" s="2">
        <v>2912.5239999999999</v>
      </c>
      <c r="K295" s="2">
        <v>1143.2672</v>
      </c>
      <c r="L295" s="2">
        <v>245.0727</v>
      </c>
      <c r="M295" s="20" t="str">
        <f t="shared" si="16"/>
        <v>-50.76</v>
      </c>
      <c r="N295" s="21">
        <f t="shared" si="17"/>
        <v>21.470699999999997</v>
      </c>
      <c r="O295" s="21">
        <f t="shared" si="18"/>
        <v>898.19450000000006</v>
      </c>
      <c r="P295" s="21">
        <f t="shared" si="19"/>
        <v>1769.2567999999999</v>
      </c>
    </row>
    <row r="296" spans="1:16" ht="15" customHeight="1" x14ac:dyDescent="0.3">
      <c r="A296" s="7" t="s">
        <v>292</v>
      </c>
      <c r="B296" s="7" t="s">
        <v>555</v>
      </c>
      <c r="C296" s="3" t="s">
        <v>673</v>
      </c>
      <c r="D296" s="8" t="s">
        <v>1</v>
      </c>
      <c r="E296" s="8" t="s">
        <v>5</v>
      </c>
      <c r="F296" s="6">
        <v>120</v>
      </c>
      <c r="G296" s="2">
        <v>12.6196</v>
      </c>
      <c r="H296" s="2">
        <v>0.30170000000000002</v>
      </c>
      <c r="I296" s="2">
        <v>0</v>
      </c>
      <c r="J296" s="2">
        <v>774.8818</v>
      </c>
      <c r="K296" s="2">
        <v>18.222799999999999</v>
      </c>
      <c r="L296" s="2">
        <v>0</v>
      </c>
      <c r="M296" s="20" t="str">
        <f t="shared" si="16"/>
        <v>-97.61</v>
      </c>
      <c r="N296" s="21">
        <f t="shared" si="17"/>
        <v>12.3179</v>
      </c>
      <c r="O296" s="21">
        <f t="shared" si="18"/>
        <v>18.222799999999999</v>
      </c>
      <c r="P296" s="21">
        <f t="shared" si="19"/>
        <v>756.65899999999999</v>
      </c>
    </row>
    <row r="297" spans="1:16" ht="15" customHeight="1" x14ac:dyDescent="0.3">
      <c r="A297" s="7" t="s">
        <v>293</v>
      </c>
      <c r="B297" s="7" t="s">
        <v>555</v>
      </c>
      <c r="C297" s="3" t="s">
        <v>674</v>
      </c>
      <c r="D297" s="8" t="s">
        <v>1</v>
      </c>
      <c r="E297" s="8" t="s">
        <v>12</v>
      </c>
      <c r="F297" s="6">
        <v>120</v>
      </c>
      <c r="G297" s="2">
        <v>0</v>
      </c>
      <c r="H297" s="2">
        <v>39.128300000000003</v>
      </c>
      <c r="I297" s="2">
        <v>18.019200000000001</v>
      </c>
      <c r="J297" s="2">
        <v>0</v>
      </c>
      <c r="K297" s="2">
        <v>2116.4569999999999</v>
      </c>
      <c r="L297" s="2">
        <v>1056.0386000000001</v>
      </c>
      <c r="M297" s="20" t="str">
        <f t="shared" si="16"/>
        <v>0.00</v>
      </c>
      <c r="N297" s="21">
        <f t="shared" si="17"/>
        <v>-39.128300000000003</v>
      </c>
      <c r="O297" s="21">
        <f t="shared" si="18"/>
        <v>1060.4183999999998</v>
      </c>
      <c r="P297" s="21">
        <f t="shared" si="19"/>
        <v>-2116.4569999999999</v>
      </c>
    </row>
    <row r="298" spans="1:16" ht="15" customHeight="1" x14ac:dyDescent="0.3">
      <c r="A298" s="7" t="s">
        <v>294</v>
      </c>
      <c r="B298" s="7" t="s">
        <v>555</v>
      </c>
      <c r="C298" s="3" t="s">
        <v>674</v>
      </c>
      <c r="D298" s="8" t="s">
        <v>1</v>
      </c>
      <c r="E298" s="8" t="s">
        <v>12</v>
      </c>
      <c r="F298" s="6">
        <v>72</v>
      </c>
      <c r="G298" s="2">
        <v>14.5854</v>
      </c>
      <c r="H298" s="2">
        <v>45.532299999999999</v>
      </c>
      <c r="I298" s="2">
        <v>49.915700000000001</v>
      </c>
      <c r="J298" s="2">
        <v>930.23509999999999</v>
      </c>
      <c r="K298" s="2">
        <v>2490.5082000000002</v>
      </c>
      <c r="L298" s="2">
        <v>2411.3348000000001</v>
      </c>
      <c r="M298" s="20" t="str">
        <f t="shared" si="16"/>
        <v>212.18</v>
      </c>
      <c r="N298" s="21">
        <f t="shared" si="17"/>
        <v>-30.946899999999999</v>
      </c>
      <c r="O298" s="21">
        <f t="shared" si="18"/>
        <v>79.173400000000129</v>
      </c>
      <c r="P298" s="21">
        <f t="shared" si="19"/>
        <v>-1560.2731000000003</v>
      </c>
    </row>
    <row r="299" spans="1:16" ht="15" customHeight="1" x14ac:dyDescent="0.3">
      <c r="A299" s="7" t="s">
        <v>295</v>
      </c>
      <c r="B299" s="7" t="s">
        <v>556</v>
      </c>
      <c r="C299" s="3" t="s">
        <v>675</v>
      </c>
      <c r="D299" s="8" t="s">
        <v>1</v>
      </c>
      <c r="E299" s="8" t="s">
        <v>41</v>
      </c>
      <c r="F299" s="6">
        <v>56</v>
      </c>
      <c r="G299" s="2">
        <v>0.1139</v>
      </c>
      <c r="H299" s="2">
        <v>4.0300000000000002E-2</v>
      </c>
      <c r="I299" s="2">
        <v>0</v>
      </c>
      <c r="J299" s="2">
        <v>0.85599999999999998</v>
      </c>
      <c r="K299" s="2">
        <v>0.30399999999999999</v>
      </c>
      <c r="L299" s="2">
        <v>0</v>
      </c>
      <c r="M299" s="20" t="str">
        <f t="shared" si="16"/>
        <v>-64.62</v>
      </c>
      <c r="N299" s="21">
        <f t="shared" si="17"/>
        <v>7.3599999999999999E-2</v>
      </c>
      <c r="O299" s="21">
        <f t="shared" si="18"/>
        <v>0.30399999999999999</v>
      </c>
      <c r="P299" s="21">
        <f t="shared" si="19"/>
        <v>0.55200000000000005</v>
      </c>
    </row>
    <row r="300" spans="1:16" ht="15" customHeight="1" x14ac:dyDescent="0.3">
      <c r="A300" s="7" t="s">
        <v>296</v>
      </c>
      <c r="B300" s="7" t="s">
        <v>556</v>
      </c>
      <c r="C300" s="3" t="s">
        <v>675</v>
      </c>
      <c r="D300" s="8" t="s">
        <v>1</v>
      </c>
      <c r="E300" s="8" t="s">
        <v>41</v>
      </c>
      <c r="F300" s="6">
        <v>56</v>
      </c>
      <c r="G300" s="2">
        <v>0.19919999999999999</v>
      </c>
      <c r="H300" s="2">
        <v>0</v>
      </c>
      <c r="I300" s="2">
        <v>0</v>
      </c>
      <c r="J300" s="2">
        <v>1.496</v>
      </c>
      <c r="K300" s="2">
        <v>0</v>
      </c>
      <c r="L300" s="2">
        <v>0</v>
      </c>
      <c r="M300" s="20" t="str">
        <f t="shared" si="16"/>
        <v>0.00</v>
      </c>
      <c r="N300" s="21">
        <f t="shared" si="17"/>
        <v>0.19919999999999999</v>
      </c>
      <c r="O300" s="21">
        <f t="shared" si="18"/>
        <v>0</v>
      </c>
      <c r="P300" s="21">
        <f t="shared" si="19"/>
        <v>1.496</v>
      </c>
    </row>
    <row r="301" spans="1:16" ht="15" customHeight="1" x14ac:dyDescent="0.3">
      <c r="A301" s="7" t="s">
        <v>297</v>
      </c>
      <c r="B301" s="7" t="s">
        <v>557</v>
      </c>
      <c r="C301" s="3" t="s">
        <v>676</v>
      </c>
      <c r="D301" s="8" t="s">
        <v>1</v>
      </c>
      <c r="E301" s="8" t="s">
        <v>12</v>
      </c>
      <c r="F301" s="6">
        <v>100</v>
      </c>
      <c r="G301" s="2">
        <v>4.4461000000000004</v>
      </c>
      <c r="H301" s="2">
        <v>2.0626000000000002</v>
      </c>
      <c r="I301" s="2">
        <v>0</v>
      </c>
      <c r="J301" s="2">
        <v>234.7319</v>
      </c>
      <c r="K301" s="2">
        <v>137.5095</v>
      </c>
      <c r="L301" s="2">
        <v>0</v>
      </c>
      <c r="M301" s="20" t="str">
        <f t="shared" si="16"/>
        <v>-53.61</v>
      </c>
      <c r="N301" s="21">
        <f t="shared" si="17"/>
        <v>2.3835000000000002</v>
      </c>
      <c r="O301" s="21">
        <f t="shared" si="18"/>
        <v>137.5095</v>
      </c>
      <c r="P301" s="21">
        <f t="shared" si="19"/>
        <v>97.222399999999993</v>
      </c>
    </row>
    <row r="302" spans="1:16" ht="15" customHeight="1" x14ac:dyDescent="0.3">
      <c r="A302" s="7" t="s">
        <v>298</v>
      </c>
      <c r="B302" s="7" t="s">
        <v>557</v>
      </c>
      <c r="C302" s="3" t="s">
        <v>676</v>
      </c>
      <c r="D302" s="8" t="s">
        <v>1</v>
      </c>
      <c r="E302" s="8" t="s">
        <v>5</v>
      </c>
      <c r="F302" s="6">
        <v>15</v>
      </c>
      <c r="G302" s="2">
        <v>0.15609999999999999</v>
      </c>
      <c r="H302" s="2">
        <v>2.98E-2</v>
      </c>
      <c r="I302" s="2">
        <v>0.25540000000000002</v>
      </c>
      <c r="J302" s="2">
        <v>9.3703000000000003</v>
      </c>
      <c r="K302" s="2">
        <v>1.4905999999999999</v>
      </c>
      <c r="L302" s="2">
        <v>12.7729</v>
      </c>
      <c r="M302" s="20" t="str">
        <f t="shared" si="16"/>
        <v>-80.91</v>
      </c>
      <c r="N302" s="21">
        <f t="shared" si="17"/>
        <v>0.1263</v>
      </c>
      <c r="O302" s="21">
        <f t="shared" si="18"/>
        <v>-11.282299999999999</v>
      </c>
      <c r="P302" s="21">
        <f t="shared" si="19"/>
        <v>7.8797000000000006</v>
      </c>
    </row>
    <row r="303" spans="1:16" ht="15" customHeight="1" x14ac:dyDescent="0.3">
      <c r="A303" s="7" t="s">
        <v>299</v>
      </c>
      <c r="B303" s="7" t="s">
        <v>557</v>
      </c>
      <c r="C303" s="3" t="s">
        <v>676</v>
      </c>
      <c r="D303" s="8" t="s">
        <v>1</v>
      </c>
      <c r="E303" s="8" t="s">
        <v>2</v>
      </c>
      <c r="F303" s="6">
        <v>60</v>
      </c>
      <c r="G303" s="2">
        <v>1.8445</v>
      </c>
      <c r="H303" s="2">
        <v>0</v>
      </c>
      <c r="I303" s="2">
        <v>0</v>
      </c>
      <c r="J303" s="2">
        <v>41.871899999999997</v>
      </c>
      <c r="K303" s="2">
        <v>0</v>
      </c>
      <c r="L303" s="2">
        <v>0</v>
      </c>
      <c r="M303" s="20" t="str">
        <f t="shared" si="16"/>
        <v>0.00</v>
      </c>
      <c r="N303" s="21">
        <f t="shared" si="17"/>
        <v>1.8445</v>
      </c>
      <c r="O303" s="21">
        <f t="shared" si="18"/>
        <v>0</v>
      </c>
      <c r="P303" s="21">
        <f t="shared" si="19"/>
        <v>41.871899999999997</v>
      </c>
    </row>
    <row r="304" spans="1:16" ht="15" customHeight="1" x14ac:dyDescent="0.3">
      <c r="A304" s="7" t="s">
        <v>300</v>
      </c>
      <c r="B304" s="7" t="s">
        <v>557</v>
      </c>
      <c r="C304" s="3" t="s">
        <v>676</v>
      </c>
      <c r="D304" s="8" t="s">
        <v>1</v>
      </c>
      <c r="E304" s="8" t="s">
        <v>5</v>
      </c>
      <c r="F304" s="6">
        <v>72</v>
      </c>
      <c r="G304" s="2">
        <v>0.57199999999999995</v>
      </c>
      <c r="H304" s="2">
        <v>0</v>
      </c>
      <c r="I304" s="2">
        <v>0</v>
      </c>
      <c r="J304" s="2">
        <v>34.318100000000001</v>
      </c>
      <c r="K304" s="2">
        <v>0</v>
      </c>
      <c r="L304" s="2">
        <v>0</v>
      </c>
      <c r="M304" s="20" t="str">
        <f t="shared" si="16"/>
        <v>0.00</v>
      </c>
      <c r="N304" s="21">
        <f t="shared" si="17"/>
        <v>0.57199999999999995</v>
      </c>
      <c r="O304" s="21">
        <f t="shared" si="18"/>
        <v>0</v>
      </c>
      <c r="P304" s="21">
        <f t="shared" si="19"/>
        <v>34.318100000000001</v>
      </c>
    </row>
    <row r="305" spans="1:16" ht="15" customHeight="1" x14ac:dyDescent="0.3">
      <c r="A305" s="7" t="s">
        <v>301</v>
      </c>
      <c r="B305" s="7" t="s">
        <v>557</v>
      </c>
      <c r="C305" s="3" t="s">
        <v>676</v>
      </c>
      <c r="D305" s="8" t="s">
        <v>1</v>
      </c>
      <c r="E305" s="8" t="s">
        <v>5</v>
      </c>
      <c r="F305" s="6">
        <v>72</v>
      </c>
      <c r="G305" s="2">
        <v>10.123900000000001</v>
      </c>
      <c r="H305" s="2">
        <v>4.3895</v>
      </c>
      <c r="I305" s="2">
        <v>0</v>
      </c>
      <c r="J305" s="2">
        <v>617.78060000000005</v>
      </c>
      <c r="K305" s="2">
        <v>241.07740000000001</v>
      </c>
      <c r="L305" s="2">
        <v>0</v>
      </c>
      <c r="M305" s="20" t="str">
        <f t="shared" si="16"/>
        <v>-56.64</v>
      </c>
      <c r="N305" s="21">
        <f t="shared" si="17"/>
        <v>5.7344000000000008</v>
      </c>
      <c r="O305" s="21">
        <f t="shared" si="18"/>
        <v>241.07740000000001</v>
      </c>
      <c r="P305" s="21">
        <f t="shared" si="19"/>
        <v>376.70320000000004</v>
      </c>
    </row>
    <row r="306" spans="1:16" ht="15" customHeight="1" x14ac:dyDescent="0.3">
      <c r="A306" s="7" t="s">
        <v>302</v>
      </c>
      <c r="B306" s="7" t="s">
        <v>557</v>
      </c>
      <c r="C306" s="3" t="s">
        <v>677</v>
      </c>
      <c r="D306" s="8" t="s">
        <v>1</v>
      </c>
      <c r="E306" s="8" t="s">
        <v>41</v>
      </c>
      <c r="F306" s="6">
        <v>120</v>
      </c>
      <c r="G306" s="2">
        <v>0</v>
      </c>
      <c r="H306" s="2">
        <v>56.203800000000001</v>
      </c>
      <c r="I306" s="2">
        <v>22.180299999999999</v>
      </c>
      <c r="J306" s="2">
        <v>0</v>
      </c>
      <c r="K306" s="2">
        <v>3259.8697999999999</v>
      </c>
      <c r="L306" s="2">
        <v>1260.6195</v>
      </c>
      <c r="M306" s="20" t="str">
        <f t="shared" si="16"/>
        <v>0.00</v>
      </c>
      <c r="N306" s="21">
        <f t="shared" si="17"/>
        <v>-56.203800000000001</v>
      </c>
      <c r="O306" s="21">
        <f t="shared" si="18"/>
        <v>1999.2502999999999</v>
      </c>
      <c r="P306" s="21">
        <f t="shared" si="19"/>
        <v>-3259.8697999999999</v>
      </c>
    </row>
    <row r="307" spans="1:16" ht="15" customHeight="1" x14ac:dyDescent="0.3">
      <c r="A307" s="7" t="s">
        <v>303</v>
      </c>
      <c r="B307" s="7" t="s">
        <v>557</v>
      </c>
      <c r="C307" s="3" t="s">
        <v>677</v>
      </c>
      <c r="D307" s="8" t="s">
        <v>1</v>
      </c>
      <c r="E307" s="8" t="s">
        <v>41</v>
      </c>
      <c r="F307" s="6">
        <v>72</v>
      </c>
      <c r="G307" s="2">
        <v>0</v>
      </c>
      <c r="H307" s="2">
        <v>15.356400000000001</v>
      </c>
      <c r="I307" s="2">
        <v>10.720599999999999</v>
      </c>
      <c r="J307" s="2">
        <v>0</v>
      </c>
      <c r="K307" s="2">
        <v>847.21910000000003</v>
      </c>
      <c r="L307" s="2">
        <v>534.71069999999997</v>
      </c>
      <c r="M307" s="20" t="str">
        <f t="shared" si="16"/>
        <v>0.00</v>
      </c>
      <c r="N307" s="21">
        <f t="shared" si="17"/>
        <v>-15.356400000000001</v>
      </c>
      <c r="O307" s="21">
        <f t="shared" si="18"/>
        <v>312.50840000000005</v>
      </c>
      <c r="P307" s="21">
        <f t="shared" si="19"/>
        <v>-847.21910000000003</v>
      </c>
    </row>
    <row r="308" spans="1:16" ht="15" customHeight="1" x14ac:dyDescent="0.3">
      <c r="A308" s="7" t="s">
        <v>304</v>
      </c>
      <c r="B308" s="7" t="s">
        <v>557</v>
      </c>
      <c r="C308" s="3" t="s">
        <v>678</v>
      </c>
      <c r="D308" s="8" t="s">
        <v>1</v>
      </c>
      <c r="E308" s="8" t="s">
        <v>2</v>
      </c>
      <c r="F308" s="6">
        <v>80</v>
      </c>
      <c r="G308" s="2">
        <v>1.0731999999999999</v>
      </c>
      <c r="H308" s="2">
        <v>0</v>
      </c>
      <c r="I308" s="2">
        <v>0</v>
      </c>
      <c r="J308" s="2">
        <v>47.075600000000001</v>
      </c>
      <c r="K308" s="2">
        <v>0</v>
      </c>
      <c r="L308" s="2">
        <v>0</v>
      </c>
      <c r="M308" s="20" t="str">
        <f t="shared" si="16"/>
        <v>0.00</v>
      </c>
      <c r="N308" s="21">
        <f t="shared" si="17"/>
        <v>1.0731999999999999</v>
      </c>
      <c r="O308" s="21">
        <f t="shared" si="18"/>
        <v>0</v>
      </c>
      <c r="P308" s="21">
        <f t="shared" si="19"/>
        <v>47.075600000000001</v>
      </c>
    </row>
    <row r="309" spans="1:16" ht="15" customHeight="1" x14ac:dyDescent="0.3">
      <c r="A309" s="7" t="s">
        <v>305</v>
      </c>
      <c r="B309" s="7" t="s">
        <v>557</v>
      </c>
      <c r="C309" s="3" t="s">
        <v>679</v>
      </c>
      <c r="D309" s="8" t="s">
        <v>1</v>
      </c>
      <c r="E309" s="8" t="s">
        <v>41</v>
      </c>
      <c r="F309" s="6">
        <v>88</v>
      </c>
      <c r="G309" s="2">
        <v>2.6486999999999998</v>
      </c>
      <c r="H309" s="2">
        <v>0</v>
      </c>
      <c r="I309" s="2">
        <v>0</v>
      </c>
      <c r="J309" s="2">
        <v>124.62050000000001</v>
      </c>
      <c r="K309" s="2">
        <v>0</v>
      </c>
      <c r="L309" s="2">
        <v>0</v>
      </c>
      <c r="M309" s="20" t="str">
        <f t="shared" si="16"/>
        <v>0.00</v>
      </c>
      <c r="N309" s="21">
        <f t="shared" si="17"/>
        <v>2.6486999999999998</v>
      </c>
      <c r="O309" s="21">
        <f t="shared" si="18"/>
        <v>0</v>
      </c>
      <c r="P309" s="21">
        <f t="shared" si="19"/>
        <v>124.62050000000001</v>
      </c>
    </row>
    <row r="310" spans="1:16" ht="15" customHeight="1" x14ac:dyDescent="0.3">
      <c r="A310" s="7" t="s">
        <v>306</v>
      </c>
      <c r="B310" s="7" t="s">
        <v>557</v>
      </c>
      <c r="C310" s="3" t="s">
        <v>680</v>
      </c>
      <c r="D310" s="8" t="s">
        <v>1</v>
      </c>
      <c r="E310" s="8" t="s">
        <v>5</v>
      </c>
      <c r="F310" s="6">
        <v>120</v>
      </c>
      <c r="G310" s="2">
        <v>84.095799999999997</v>
      </c>
      <c r="H310" s="2">
        <v>151.49979999999999</v>
      </c>
      <c r="I310" s="2">
        <v>39.488900000000001</v>
      </c>
      <c r="J310" s="2">
        <v>4863.5491000000002</v>
      </c>
      <c r="K310" s="2">
        <v>8687.4974999999995</v>
      </c>
      <c r="L310" s="2">
        <v>2240.9688000000001</v>
      </c>
      <c r="M310" s="20" t="str">
        <f t="shared" si="16"/>
        <v>80.15</v>
      </c>
      <c r="N310" s="21">
        <f t="shared" si="17"/>
        <v>-67.403999999999996</v>
      </c>
      <c r="O310" s="21">
        <f t="shared" si="18"/>
        <v>6446.5286999999989</v>
      </c>
      <c r="P310" s="21">
        <f t="shared" si="19"/>
        <v>-3823.9483999999993</v>
      </c>
    </row>
    <row r="311" spans="1:16" ht="15" customHeight="1" x14ac:dyDescent="0.3">
      <c r="A311" s="7" t="s">
        <v>307</v>
      </c>
      <c r="B311" s="7" t="s">
        <v>557</v>
      </c>
      <c r="C311" s="3" t="s">
        <v>680</v>
      </c>
      <c r="D311" s="8" t="s">
        <v>1</v>
      </c>
      <c r="E311" s="8" t="s">
        <v>5</v>
      </c>
      <c r="F311" s="6">
        <v>72</v>
      </c>
      <c r="G311" s="2">
        <v>24.440899999999999</v>
      </c>
      <c r="H311" s="2">
        <v>13.931900000000001</v>
      </c>
      <c r="I311" s="2">
        <v>5.4257</v>
      </c>
      <c r="J311" s="2">
        <v>1419.3269</v>
      </c>
      <c r="K311" s="2">
        <v>757.8877</v>
      </c>
      <c r="L311" s="2">
        <v>289.12630000000001</v>
      </c>
      <c r="M311" s="20" t="str">
        <f t="shared" si="16"/>
        <v>-43.00</v>
      </c>
      <c r="N311" s="21">
        <f t="shared" si="17"/>
        <v>10.508999999999999</v>
      </c>
      <c r="O311" s="21">
        <f t="shared" si="18"/>
        <v>468.76139999999998</v>
      </c>
      <c r="P311" s="21">
        <f t="shared" si="19"/>
        <v>661.43920000000003</v>
      </c>
    </row>
    <row r="312" spans="1:16" ht="15" customHeight="1" x14ac:dyDescent="0.3">
      <c r="A312" s="7" t="s">
        <v>308</v>
      </c>
      <c r="B312" s="7" t="s">
        <v>557</v>
      </c>
      <c r="C312" s="3" t="s">
        <v>680</v>
      </c>
      <c r="D312" s="8" t="s">
        <v>1</v>
      </c>
      <c r="E312" s="8" t="s">
        <v>5</v>
      </c>
      <c r="F312" s="6">
        <v>72</v>
      </c>
      <c r="G312" s="2">
        <v>2.0893000000000002</v>
      </c>
      <c r="H312" s="2">
        <v>2.5973000000000002</v>
      </c>
      <c r="I312" s="2">
        <v>0.1109</v>
      </c>
      <c r="J312" s="2">
        <v>135.5565</v>
      </c>
      <c r="K312" s="2">
        <v>141.02850000000001</v>
      </c>
      <c r="L312" s="2">
        <v>6.4691999999999998</v>
      </c>
      <c r="M312" s="20" t="str">
        <f t="shared" si="16"/>
        <v>24.31</v>
      </c>
      <c r="N312" s="21">
        <f t="shared" si="17"/>
        <v>-0.50800000000000001</v>
      </c>
      <c r="O312" s="21">
        <f t="shared" si="18"/>
        <v>134.55930000000001</v>
      </c>
      <c r="P312" s="21">
        <f t="shared" si="19"/>
        <v>-5.4720000000000084</v>
      </c>
    </row>
    <row r="313" spans="1:16" ht="15" customHeight="1" x14ac:dyDescent="0.3">
      <c r="A313" s="7" t="s">
        <v>309</v>
      </c>
      <c r="B313" s="7" t="s">
        <v>558</v>
      </c>
      <c r="C313" s="3" t="s">
        <v>676</v>
      </c>
      <c r="D313" s="8" t="s">
        <v>1</v>
      </c>
      <c r="E313" s="8" t="s">
        <v>5</v>
      </c>
      <c r="F313" s="6">
        <v>120</v>
      </c>
      <c r="G313" s="2">
        <v>6.1833</v>
      </c>
      <c r="H313" s="2">
        <v>0.61119999999999997</v>
      </c>
      <c r="I313" s="2">
        <v>0</v>
      </c>
      <c r="J313" s="2">
        <v>392.1592</v>
      </c>
      <c r="K313" s="2">
        <v>31.181999999999999</v>
      </c>
      <c r="L313" s="2">
        <v>0</v>
      </c>
      <c r="M313" s="20" t="str">
        <f t="shared" si="16"/>
        <v>-90.12</v>
      </c>
      <c r="N313" s="21">
        <f t="shared" si="17"/>
        <v>5.5720999999999998</v>
      </c>
      <c r="O313" s="21">
        <f t="shared" si="18"/>
        <v>31.181999999999999</v>
      </c>
      <c r="P313" s="21">
        <f t="shared" si="19"/>
        <v>360.97719999999998</v>
      </c>
    </row>
    <row r="314" spans="1:16" ht="15" customHeight="1" x14ac:dyDescent="0.3">
      <c r="A314" s="7" t="s">
        <v>310</v>
      </c>
      <c r="B314" s="7" t="s">
        <v>558</v>
      </c>
      <c r="C314" s="3" t="s">
        <v>754</v>
      </c>
      <c r="D314" s="8" t="s">
        <v>1</v>
      </c>
      <c r="E314" s="8" t="s">
        <v>5</v>
      </c>
      <c r="F314" s="6">
        <v>120</v>
      </c>
      <c r="G314" s="2">
        <v>2.5480999999999998</v>
      </c>
      <c r="H314" s="2">
        <v>2.6009000000000002</v>
      </c>
      <c r="I314" s="2">
        <v>0</v>
      </c>
      <c r="J314" s="2">
        <v>132.16820000000001</v>
      </c>
      <c r="K314" s="2">
        <v>141.76490000000001</v>
      </c>
      <c r="L314" s="2">
        <v>0</v>
      </c>
      <c r="M314" s="20" t="str">
        <f t="shared" si="16"/>
        <v>2.07</v>
      </c>
      <c r="N314" s="21">
        <f t="shared" si="17"/>
        <v>-5.2800000000000402E-2</v>
      </c>
      <c r="O314" s="21">
        <f t="shared" si="18"/>
        <v>141.76490000000001</v>
      </c>
      <c r="P314" s="21">
        <f t="shared" si="19"/>
        <v>-9.5966999999999985</v>
      </c>
    </row>
    <row r="315" spans="1:16" ht="15" customHeight="1" x14ac:dyDescent="0.3">
      <c r="A315" s="7" t="s">
        <v>311</v>
      </c>
      <c r="B315" s="7" t="s">
        <v>559</v>
      </c>
      <c r="C315" s="3" t="s">
        <v>681</v>
      </c>
      <c r="D315" s="8" t="s">
        <v>1</v>
      </c>
      <c r="E315" s="8" t="s">
        <v>45</v>
      </c>
      <c r="F315" s="6">
        <v>20</v>
      </c>
      <c r="G315" s="2">
        <v>0.15809999999999999</v>
      </c>
      <c r="H315" s="2">
        <v>2E-3</v>
      </c>
      <c r="I315" s="2">
        <v>1E-3</v>
      </c>
      <c r="J315" s="2">
        <v>2.1</v>
      </c>
      <c r="K315" s="2">
        <v>0.02</v>
      </c>
      <c r="L315" s="2">
        <v>0.02</v>
      </c>
      <c r="M315" s="20" t="str">
        <f t="shared" si="16"/>
        <v>-98.73</v>
      </c>
      <c r="N315" s="21">
        <f t="shared" si="17"/>
        <v>0.15609999999999999</v>
      </c>
      <c r="O315" s="21">
        <f t="shared" si="18"/>
        <v>0</v>
      </c>
      <c r="P315" s="21">
        <f t="shared" si="19"/>
        <v>2.08</v>
      </c>
    </row>
    <row r="316" spans="1:16" ht="15" customHeight="1" x14ac:dyDescent="0.3">
      <c r="A316" s="7" t="s">
        <v>312</v>
      </c>
      <c r="B316" s="7" t="s">
        <v>560</v>
      </c>
      <c r="C316" s="3" t="s">
        <v>682</v>
      </c>
      <c r="D316" s="8" t="s">
        <v>1</v>
      </c>
      <c r="E316" s="8" t="s">
        <v>12</v>
      </c>
      <c r="F316" s="6">
        <v>56</v>
      </c>
      <c r="G316" s="2">
        <v>6.0000000000000001E-3</v>
      </c>
      <c r="H316" s="2">
        <v>0.35439999999999999</v>
      </c>
      <c r="I316" s="2">
        <v>0</v>
      </c>
      <c r="J316" s="2">
        <v>0.33839999999999998</v>
      </c>
      <c r="K316" s="2">
        <v>16.541699999999999</v>
      </c>
      <c r="L316" s="2">
        <v>0</v>
      </c>
      <c r="M316" s="20" t="str">
        <f t="shared" si="16"/>
        <v>5806.67</v>
      </c>
      <c r="N316" s="21">
        <f t="shared" si="17"/>
        <v>-0.34839999999999999</v>
      </c>
      <c r="O316" s="21">
        <f t="shared" si="18"/>
        <v>16.541699999999999</v>
      </c>
      <c r="P316" s="21">
        <f t="shared" si="19"/>
        <v>-16.203299999999999</v>
      </c>
    </row>
    <row r="317" spans="1:16" ht="15" customHeight="1" x14ac:dyDescent="0.3">
      <c r="A317" s="7" t="s">
        <v>597</v>
      </c>
      <c r="B317" s="7" t="s">
        <v>561</v>
      </c>
      <c r="C317" s="3" t="s">
        <v>683</v>
      </c>
      <c r="D317" s="8" t="s">
        <v>1</v>
      </c>
      <c r="E317" s="8" t="s">
        <v>5</v>
      </c>
      <c r="F317" s="6">
        <v>72</v>
      </c>
      <c r="G317" s="2">
        <v>0</v>
      </c>
      <c r="H317" s="2">
        <v>0</v>
      </c>
      <c r="I317" s="2">
        <v>9.8000000000000004E-2</v>
      </c>
      <c r="J317" s="2">
        <v>0</v>
      </c>
      <c r="K317" s="2">
        <v>0</v>
      </c>
      <c r="L317" s="2">
        <v>3.3592</v>
      </c>
      <c r="M317" s="20" t="str">
        <f t="shared" si="16"/>
        <v>0.00</v>
      </c>
      <c r="N317" s="21">
        <f t="shared" si="17"/>
        <v>0</v>
      </c>
      <c r="O317" s="21">
        <f t="shared" si="18"/>
        <v>-3.3592</v>
      </c>
      <c r="P317" s="21">
        <f t="shared" si="19"/>
        <v>0</v>
      </c>
    </row>
    <row r="318" spans="1:16" ht="15" customHeight="1" x14ac:dyDescent="0.3">
      <c r="A318" s="7" t="s">
        <v>313</v>
      </c>
      <c r="B318" s="7" t="s">
        <v>562</v>
      </c>
      <c r="C318" s="3" t="s">
        <v>684</v>
      </c>
      <c r="D318" s="8" t="s">
        <v>1</v>
      </c>
      <c r="E318" s="8" t="s">
        <v>2</v>
      </c>
      <c r="F318" s="6">
        <v>72</v>
      </c>
      <c r="G318" s="2">
        <v>0</v>
      </c>
      <c r="H318" s="2">
        <v>0.79349999999999998</v>
      </c>
      <c r="I318" s="2">
        <v>0.7298</v>
      </c>
      <c r="J318" s="2">
        <v>0</v>
      </c>
      <c r="K318" s="2">
        <v>47.268799999999999</v>
      </c>
      <c r="L318" s="2">
        <v>43.602699999999999</v>
      </c>
      <c r="M318" s="20" t="str">
        <f t="shared" si="16"/>
        <v>0.00</v>
      </c>
      <c r="N318" s="21">
        <f t="shared" si="17"/>
        <v>-0.79349999999999998</v>
      </c>
      <c r="O318" s="21">
        <f t="shared" si="18"/>
        <v>3.6661000000000001</v>
      </c>
      <c r="P318" s="21">
        <f t="shared" si="19"/>
        <v>-47.268799999999999</v>
      </c>
    </row>
    <row r="319" spans="1:16" ht="15" customHeight="1" x14ac:dyDescent="0.3">
      <c r="A319" s="7" t="s">
        <v>314</v>
      </c>
      <c r="B319" s="7" t="s">
        <v>563</v>
      </c>
      <c r="C319" s="3" t="s">
        <v>685</v>
      </c>
      <c r="D319" s="8" t="s">
        <v>1</v>
      </c>
      <c r="E319" s="8" t="s">
        <v>5</v>
      </c>
      <c r="F319" s="6">
        <v>90</v>
      </c>
      <c r="G319" s="2">
        <v>0.36020000000000002</v>
      </c>
      <c r="H319" s="2">
        <v>5.21E-2</v>
      </c>
      <c r="I319" s="2">
        <v>9.4000000000000004E-3</v>
      </c>
      <c r="J319" s="2">
        <v>19.065100000000001</v>
      </c>
      <c r="K319" s="2">
        <v>2.6206</v>
      </c>
      <c r="L319" s="2">
        <v>0.48</v>
      </c>
      <c r="M319" s="20" t="str">
        <f t="shared" si="16"/>
        <v>-85.54</v>
      </c>
      <c r="N319" s="21">
        <f t="shared" si="17"/>
        <v>0.30810000000000004</v>
      </c>
      <c r="O319" s="21">
        <f t="shared" si="18"/>
        <v>2.1406000000000001</v>
      </c>
      <c r="P319" s="21">
        <f t="shared" si="19"/>
        <v>16.444500000000001</v>
      </c>
    </row>
    <row r="320" spans="1:16" ht="15" customHeight="1" x14ac:dyDescent="0.3">
      <c r="A320" s="7" t="s">
        <v>315</v>
      </c>
      <c r="B320" s="7" t="s">
        <v>564</v>
      </c>
      <c r="C320" s="3" t="s">
        <v>686</v>
      </c>
      <c r="D320" s="8" t="s">
        <v>1</v>
      </c>
      <c r="E320" s="8" t="s">
        <v>5</v>
      </c>
      <c r="F320" s="6">
        <v>80</v>
      </c>
      <c r="G320" s="2">
        <v>0</v>
      </c>
      <c r="H320" s="2">
        <v>0</v>
      </c>
      <c r="I320" s="2">
        <v>2.0999999999999999E-3</v>
      </c>
      <c r="J320" s="2">
        <v>0</v>
      </c>
      <c r="K320" s="2">
        <v>0</v>
      </c>
      <c r="L320" s="2">
        <v>0.17710000000000001</v>
      </c>
      <c r="M320" s="20" t="str">
        <f t="shared" si="16"/>
        <v>0.00</v>
      </c>
      <c r="N320" s="21">
        <f t="shared" si="17"/>
        <v>0</v>
      </c>
      <c r="O320" s="21">
        <f t="shared" si="18"/>
        <v>-0.17710000000000001</v>
      </c>
      <c r="P320" s="21">
        <f t="shared" si="19"/>
        <v>0</v>
      </c>
    </row>
    <row r="321" spans="1:16" ht="15" customHeight="1" x14ac:dyDescent="0.3">
      <c r="A321" s="7" t="s">
        <v>316</v>
      </c>
      <c r="B321" s="7" t="s">
        <v>565</v>
      </c>
      <c r="C321" s="3" t="s">
        <v>687</v>
      </c>
      <c r="D321" s="8" t="s">
        <v>1</v>
      </c>
      <c r="E321" s="8" t="s">
        <v>12</v>
      </c>
      <c r="F321" s="6">
        <v>24</v>
      </c>
      <c r="G321" s="2">
        <v>1.4545999999999999</v>
      </c>
      <c r="H321" s="2">
        <v>0.15629999999999999</v>
      </c>
      <c r="I321" s="2">
        <v>5.8099999999999999E-2</v>
      </c>
      <c r="J321" s="2">
        <v>31.957999999999998</v>
      </c>
      <c r="K321" s="2">
        <v>3.1030000000000002</v>
      </c>
      <c r="L321" s="2">
        <v>1.1613</v>
      </c>
      <c r="M321" s="20" t="str">
        <f t="shared" si="16"/>
        <v>-89.25</v>
      </c>
      <c r="N321" s="21">
        <f t="shared" si="17"/>
        <v>1.2982999999999998</v>
      </c>
      <c r="O321" s="21">
        <f t="shared" si="18"/>
        <v>1.9417000000000002</v>
      </c>
      <c r="P321" s="21">
        <f t="shared" si="19"/>
        <v>28.854999999999997</v>
      </c>
    </row>
    <row r="322" spans="1:16" ht="15" customHeight="1" x14ac:dyDescent="0.3">
      <c r="A322" s="7" t="s">
        <v>317</v>
      </c>
      <c r="B322" s="7" t="s">
        <v>565</v>
      </c>
      <c r="C322" s="3" t="s">
        <v>687</v>
      </c>
      <c r="D322" s="8" t="s">
        <v>1</v>
      </c>
      <c r="E322" s="8" t="s">
        <v>12</v>
      </c>
      <c r="F322" s="6">
        <v>72</v>
      </c>
      <c r="G322" s="2">
        <v>0.69610000000000005</v>
      </c>
      <c r="H322" s="2">
        <v>0</v>
      </c>
      <c r="I322" s="2">
        <v>0</v>
      </c>
      <c r="J322" s="2">
        <v>23.8918</v>
      </c>
      <c r="K322" s="2">
        <v>0</v>
      </c>
      <c r="L322" s="2">
        <v>0</v>
      </c>
      <c r="M322" s="20" t="str">
        <f t="shared" si="16"/>
        <v>0.00</v>
      </c>
      <c r="N322" s="21">
        <f t="shared" si="17"/>
        <v>0.69610000000000005</v>
      </c>
      <c r="O322" s="21">
        <f t="shared" si="18"/>
        <v>0</v>
      </c>
      <c r="P322" s="21">
        <f t="shared" si="19"/>
        <v>23.8918</v>
      </c>
    </row>
    <row r="323" spans="1:16" ht="15" customHeight="1" x14ac:dyDescent="0.3">
      <c r="A323" s="7" t="s">
        <v>318</v>
      </c>
      <c r="B323" s="7" t="s">
        <v>566</v>
      </c>
      <c r="C323" s="3" t="s">
        <v>688</v>
      </c>
      <c r="D323" s="8" t="s">
        <v>1</v>
      </c>
      <c r="E323" s="8" t="s">
        <v>12</v>
      </c>
      <c r="F323" s="6">
        <v>25</v>
      </c>
      <c r="G323" s="2">
        <v>0.83640000000000003</v>
      </c>
      <c r="H323" s="2">
        <v>0.55679999999999996</v>
      </c>
      <c r="I323" s="2">
        <v>0.16950000000000001</v>
      </c>
      <c r="J323" s="2">
        <v>3.2871000000000001</v>
      </c>
      <c r="K323" s="2">
        <v>1.9970000000000001</v>
      </c>
      <c r="L323" s="2">
        <v>0.75749999999999995</v>
      </c>
      <c r="M323" s="20" t="str">
        <f t="shared" ref="M323:M386" si="20">IF(OR(G323=0, H323=0), "0.00", TEXT((H323-G323)/G323*100, "0.00"))</f>
        <v>-33.43</v>
      </c>
      <c r="N323" s="21">
        <f t="shared" ref="N323:N386" si="21">G323-H323</f>
        <v>0.27960000000000007</v>
      </c>
      <c r="O323" s="21">
        <f t="shared" ref="O323:O386" si="22">K323-L323</f>
        <v>1.2395</v>
      </c>
      <c r="P323" s="21">
        <f t="shared" ref="P323:P386" si="23">J323-K323</f>
        <v>1.2901</v>
      </c>
    </row>
    <row r="324" spans="1:16" ht="15" customHeight="1" x14ac:dyDescent="0.3">
      <c r="A324" s="7" t="s">
        <v>319</v>
      </c>
      <c r="B324" s="7" t="s">
        <v>566</v>
      </c>
      <c r="C324" s="3" t="s">
        <v>688</v>
      </c>
      <c r="D324" s="8" t="s">
        <v>1</v>
      </c>
      <c r="E324" s="8" t="s">
        <v>12</v>
      </c>
      <c r="F324" s="6">
        <v>70</v>
      </c>
      <c r="G324" s="2">
        <v>1.8599999999999998E-2</v>
      </c>
      <c r="H324" s="2">
        <v>0</v>
      </c>
      <c r="I324" s="2">
        <v>0</v>
      </c>
      <c r="J324" s="2">
        <v>0.14000000000000001</v>
      </c>
      <c r="K324" s="2">
        <v>0</v>
      </c>
      <c r="L324" s="2">
        <v>0</v>
      </c>
      <c r="M324" s="20" t="str">
        <f t="shared" si="20"/>
        <v>0.00</v>
      </c>
      <c r="N324" s="21">
        <f t="shared" si="21"/>
        <v>1.8599999999999998E-2</v>
      </c>
      <c r="O324" s="21">
        <f t="shared" si="22"/>
        <v>0</v>
      </c>
      <c r="P324" s="21">
        <f t="shared" si="23"/>
        <v>0.14000000000000001</v>
      </c>
    </row>
    <row r="325" spans="1:16" ht="15" customHeight="1" x14ac:dyDescent="0.3">
      <c r="A325" s="7" t="s">
        <v>320</v>
      </c>
      <c r="B325" s="7" t="s">
        <v>566</v>
      </c>
      <c r="C325" s="3" t="s">
        <v>688</v>
      </c>
      <c r="D325" s="8" t="s">
        <v>1</v>
      </c>
      <c r="E325" s="8" t="s">
        <v>12</v>
      </c>
      <c r="F325" s="6">
        <v>70</v>
      </c>
      <c r="G325" s="2">
        <v>0.34599999999999997</v>
      </c>
      <c r="H325" s="2">
        <v>0.3881</v>
      </c>
      <c r="I325" s="2">
        <v>0.2717</v>
      </c>
      <c r="J325" s="2">
        <v>2.4157999999999999</v>
      </c>
      <c r="K325" s="2">
        <v>2.4979</v>
      </c>
      <c r="L325" s="2">
        <v>1.68</v>
      </c>
      <c r="M325" s="20" t="str">
        <f t="shared" si="20"/>
        <v>12.17</v>
      </c>
      <c r="N325" s="21">
        <f t="shared" si="21"/>
        <v>-4.2100000000000026E-2</v>
      </c>
      <c r="O325" s="21">
        <f t="shared" si="22"/>
        <v>0.81790000000000007</v>
      </c>
      <c r="P325" s="21">
        <f t="shared" si="23"/>
        <v>-8.2100000000000062E-2</v>
      </c>
    </row>
    <row r="326" spans="1:16" ht="15" customHeight="1" x14ac:dyDescent="0.3">
      <c r="A326" s="7" t="s">
        <v>321</v>
      </c>
      <c r="B326" s="7" t="s">
        <v>566</v>
      </c>
      <c r="C326" s="3" t="s">
        <v>688</v>
      </c>
      <c r="D326" s="8" t="s">
        <v>1</v>
      </c>
      <c r="E326" s="8" t="s">
        <v>12</v>
      </c>
      <c r="F326" s="6">
        <v>70</v>
      </c>
      <c r="G326" s="2">
        <v>0.25569999999999998</v>
      </c>
      <c r="H326" s="2">
        <v>2.6200000000000001E-2</v>
      </c>
      <c r="I326" s="2">
        <v>0</v>
      </c>
      <c r="J326" s="2">
        <v>2.27</v>
      </c>
      <c r="K326" s="2">
        <v>0.31</v>
      </c>
      <c r="L326" s="2">
        <v>0</v>
      </c>
      <c r="M326" s="20" t="str">
        <f t="shared" si="20"/>
        <v>-89.75</v>
      </c>
      <c r="N326" s="21">
        <f t="shared" si="21"/>
        <v>0.22949999999999998</v>
      </c>
      <c r="O326" s="21">
        <f t="shared" si="22"/>
        <v>0.31</v>
      </c>
      <c r="P326" s="21">
        <f t="shared" si="23"/>
        <v>1.96</v>
      </c>
    </row>
    <row r="327" spans="1:16" ht="15" customHeight="1" x14ac:dyDescent="0.3">
      <c r="A327" s="7" t="s">
        <v>322</v>
      </c>
      <c r="B327" s="7" t="s">
        <v>567</v>
      </c>
      <c r="C327" s="3" t="s">
        <v>676</v>
      </c>
      <c r="D327" s="8" t="s">
        <v>1</v>
      </c>
      <c r="E327" s="8" t="s">
        <v>5</v>
      </c>
      <c r="F327" s="6">
        <v>60</v>
      </c>
      <c r="G327" s="2">
        <v>4.2514000000000003</v>
      </c>
      <c r="H327" s="2">
        <v>9.5349000000000004</v>
      </c>
      <c r="I327" s="2">
        <v>4.3247999999999998</v>
      </c>
      <c r="J327" s="2">
        <v>118.9742</v>
      </c>
      <c r="K327" s="2">
        <v>264.43900000000002</v>
      </c>
      <c r="L327" s="2">
        <v>116.2043</v>
      </c>
      <c r="M327" s="20" t="str">
        <f t="shared" si="20"/>
        <v>124.28</v>
      </c>
      <c r="N327" s="21">
        <f t="shared" si="21"/>
        <v>-5.2835000000000001</v>
      </c>
      <c r="O327" s="21">
        <f t="shared" si="22"/>
        <v>148.23470000000003</v>
      </c>
      <c r="P327" s="21">
        <f t="shared" si="23"/>
        <v>-145.46480000000003</v>
      </c>
    </row>
    <row r="328" spans="1:16" ht="15" customHeight="1" x14ac:dyDescent="0.3">
      <c r="A328" s="7" t="s">
        <v>323</v>
      </c>
      <c r="B328" s="7" t="s">
        <v>567</v>
      </c>
      <c r="C328" s="3" t="s">
        <v>676</v>
      </c>
      <c r="D328" s="8" t="s">
        <v>1</v>
      </c>
      <c r="E328" s="8" t="s">
        <v>5</v>
      </c>
      <c r="F328" s="6">
        <v>60</v>
      </c>
      <c r="G328" s="2">
        <v>0</v>
      </c>
      <c r="H328" s="2">
        <v>3.1814</v>
      </c>
      <c r="I328" s="2">
        <v>1.8621000000000001</v>
      </c>
      <c r="J328" s="2">
        <v>0</v>
      </c>
      <c r="K328" s="2">
        <v>84.536500000000004</v>
      </c>
      <c r="L328" s="2">
        <v>48.9773</v>
      </c>
      <c r="M328" s="20" t="str">
        <f t="shared" si="20"/>
        <v>0.00</v>
      </c>
      <c r="N328" s="21">
        <f t="shared" si="21"/>
        <v>-3.1814</v>
      </c>
      <c r="O328" s="21">
        <f t="shared" si="22"/>
        <v>35.559200000000004</v>
      </c>
      <c r="P328" s="21">
        <f t="shared" si="23"/>
        <v>-84.536500000000004</v>
      </c>
    </row>
    <row r="329" spans="1:16" ht="15" customHeight="1" x14ac:dyDescent="0.3">
      <c r="A329" s="7" t="s">
        <v>324</v>
      </c>
      <c r="B329" s="7" t="s">
        <v>567</v>
      </c>
      <c r="C329" s="3" t="s">
        <v>676</v>
      </c>
      <c r="D329" s="8" t="s">
        <v>1</v>
      </c>
      <c r="E329" s="8" t="s">
        <v>2</v>
      </c>
      <c r="F329" s="6">
        <v>60</v>
      </c>
      <c r="G329" s="2">
        <v>9.6434999999999995</v>
      </c>
      <c r="H329" s="2">
        <v>0</v>
      </c>
      <c r="I329" s="2">
        <v>0</v>
      </c>
      <c r="J329" s="2">
        <v>280.5643</v>
      </c>
      <c r="K329" s="2">
        <v>0</v>
      </c>
      <c r="L329" s="2">
        <v>0</v>
      </c>
      <c r="M329" s="20" t="str">
        <f t="shared" si="20"/>
        <v>0.00</v>
      </c>
      <c r="N329" s="21">
        <f t="shared" si="21"/>
        <v>9.6434999999999995</v>
      </c>
      <c r="O329" s="21">
        <f t="shared" si="22"/>
        <v>0</v>
      </c>
      <c r="P329" s="21">
        <f t="shared" si="23"/>
        <v>280.5643</v>
      </c>
    </row>
    <row r="330" spans="1:16" ht="15" customHeight="1" x14ac:dyDescent="0.3">
      <c r="A330" s="7" t="s">
        <v>325</v>
      </c>
      <c r="B330" s="7" t="s">
        <v>567</v>
      </c>
      <c r="C330" s="3" t="s">
        <v>676</v>
      </c>
      <c r="D330" s="8" t="s">
        <v>1</v>
      </c>
      <c r="E330" s="8" t="s">
        <v>2</v>
      </c>
      <c r="F330" s="6">
        <v>60</v>
      </c>
      <c r="G330" s="2">
        <v>12.711499999999999</v>
      </c>
      <c r="H330" s="2">
        <v>0</v>
      </c>
      <c r="I330" s="2">
        <v>0</v>
      </c>
      <c r="J330" s="2">
        <v>374.43990000000002</v>
      </c>
      <c r="K330" s="2">
        <v>0</v>
      </c>
      <c r="L330" s="2">
        <v>0</v>
      </c>
      <c r="M330" s="20" t="str">
        <f t="shared" si="20"/>
        <v>0.00</v>
      </c>
      <c r="N330" s="21">
        <f t="shared" si="21"/>
        <v>12.711499999999999</v>
      </c>
      <c r="O330" s="21">
        <f t="shared" si="22"/>
        <v>0</v>
      </c>
      <c r="P330" s="21">
        <f t="shared" si="23"/>
        <v>374.43990000000002</v>
      </c>
    </row>
    <row r="331" spans="1:16" ht="15" customHeight="1" x14ac:dyDescent="0.3">
      <c r="A331" s="7" t="s">
        <v>326</v>
      </c>
      <c r="B331" s="7" t="s">
        <v>568</v>
      </c>
      <c r="C331" s="3" t="s">
        <v>689</v>
      </c>
      <c r="D331" s="8" t="s">
        <v>1</v>
      </c>
      <c r="E331" s="8" t="s">
        <v>41</v>
      </c>
      <c r="F331" s="6">
        <v>120</v>
      </c>
      <c r="G331" s="2">
        <v>0</v>
      </c>
      <c r="H331" s="2">
        <v>0</v>
      </c>
      <c r="I331" s="2">
        <v>0.624</v>
      </c>
      <c r="J331" s="2">
        <v>0</v>
      </c>
      <c r="K331" s="2">
        <v>0</v>
      </c>
      <c r="L331" s="2">
        <v>34.035699999999999</v>
      </c>
      <c r="M331" s="20" t="str">
        <f t="shared" si="20"/>
        <v>0.00</v>
      </c>
      <c r="N331" s="21">
        <f t="shared" si="21"/>
        <v>0</v>
      </c>
      <c r="O331" s="21">
        <f t="shared" si="22"/>
        <v>-34.035699999999999</v>
      </c>
      <c r="P331" s="21">
        <f t="shared" si="23"/>
        <v>0</v>
      </c>
    </row>
    <row r="332" spans="1:16" ht="15" customHeight="1" x14ac:dyDescent="0.3">
      <c r="A332" s="7" t="s">
        <v>327</v>
      </c>
      <c r="B332" s="7" t="s">
        <v>569</v>
      </c>
      <c r="C332" s="3" t="s">
        <v>690</v>
      </c>
      <c r="D332" s="8" t="s">
        <v>1</v>
      </c>
      <c r="E332" s="8" t="s">
        <v>2</v>
      </c>
      <c r="F332" s="6">
        <v>64</v>
      </c>
      <c r="G332" s="2">
        <v>192.72300000000001</v>
      </c>
      <c r="H332" s="2">
        <v>183.24340000000001</v>
      </c>
      <c r="I332" s="2">
        <v>97.209599999999995</v>
      </c>
      <c r="J332" s="2">
        <v>7900.9691000000003</v>
      </c>
      <c r="K332" s="2">
        <v>6838.8454000000002</v>
      </c>
      <c r="L332" s="2">
        <v>3264.5805999999998</v>
      </c>
      <c r="M332" s="20" t="str">
        <f t="shared" si="20"/>
        <v>-4.92</v>
      </c>
      <c r="N332" s="21">
        <f t="shared" si="21"/>
        <v>9.4796000000000049</v>
      </c>
      <c r="O332" s="21">
        <f t="shared" si="22"/>
        <v>3574.2648000000004</v>
      </c>
      <c r="P332" s="21">
        <f t="shared" si="23"/>
        <v>1062.1237000000001</v>
      </c>
    </row>
    <row r="333" spans="1:16" ht="15" customHeight="1" x14ac:dyDescent="0.3">
      <c r="A333" s="7" t="s">
        <v>328</v>
      </c>
      <c r="B333" s="7" t="s">
        <v>570</v>
      </c>
      <c r="C333" s="3" t="s">
        <v>741</v>
      </c>
      <c r="D333" s="8" t="s">
        <v>1</v>
      </c>
      <c r="E333" s="8" t="s">
        <v>12</v>
      </c>
      <c r="F333" s="6">
        <v>12</v>
      </c>
      <c r="G333" s="2">
        <v>6.59E-2</v>
      </c>
      <c r="H333" s="2">
        <v>0.95820000000000005</v>
      </c>
      <c r="I333" s="2">
        <v>0</v>
      </c>
      <c r="J333" s="2">
        <v>0.18509999999999999</v>
      </c>
      <c r="K333" s="2">
        <v>3.0327999999999999</v>
      </c>
      <c r="L333" s="2">
        <v>0</v>
      </c>
      <c r="M333" s="20" t="str">
        <f t="shared" si="20"/>
        <v>1354.02</v>
      </c>
      <c r="N333" s="21">
        <f t="shared" si="21"/>
        <v>-0.89230000000000009</v>
      </c>
      <c r="O333" s="21">
        <f t="shared" si="22"/>
        <v>3.0327999999999999</v>
      </c>
      <c r="P333" s="21">
        <f t="shared" si="23"/>
        <v>-2.8477000000000001</v>
      </c>
    </row>
    <row r="334" spans="1:16" ht="15" customHeight="1" x14ac:dyDescent="0.3">
      <c r="A334" s="7" t="s">
        <v>329</v>
      </c>
      <c r="B334" s="7" t="s">
        <v>570</v>
      </c>
      <c r="C334" s="3" t="s">
        <v>741</v>
      </c>
      <c r="D334" s="8" t="s">
        <v>1</v>
      </c>
      <c r="E334" s="8" t="s">
        <v>12</v>
      </c>
      <c r="F334" s="6">
        <v>12</v>
      </c>
      <c r="G334" s="2">
        <v>5.1000000000000004E-3</v>
      </c>
      <c r="H334" s="2">
        <v>0.40570000000000001</v>
      </c>
      <c r="I334" s="2">
        <v>0</v>
      </c>
      <c r="J334" s="2">
        <v>1.37E-2</v>
      </c>
      <c r="K334" s="2">
        <v>1.3527</v>
      </c>
      <c r="L334" s="2">
        <v>0</v>
      </c>
      <c r="M334" s="20" t="str">
        <f t="shared" si="20"/>
        <v>7854.90</v>
      </c>
      <c r="N334" s="21">
        <f t="shared" si="21"/>
        <v>-0.40060000000000001</v>
      </c>
      <c r="O334" s="21">
        <f t="shared" si="22"/>
        <v>1.3527</v>
      </c>
      <c r="P334" s="21">
        <f t="shared" si="23"/>
        <v>-1.339</v>
      </c>
    </row>
    <row r="335" spans="1:16" ht="15" customHeight="1" x14ac:dyDescent="0.3">
      <c r="A335" s="7" t="s">
        <v>330</v>
      </c>
      <c r="B335" s="7" t="s">
        <v>570</v>
      </c>
      <c r="C335" s="3" t="s">
        <v>741</v>
      </c>
      <c r="D335" s="8" t="s">
        <v>1</v>
      </c>
      <c r="E335" s="8" t="s">
        <v>12</v>
      </c>
      <c r="F335" s="6">
        <v>12</v>
      </c>
      <c r="G335" s="2">
        <v>0.1182</v>
      </c>
      <c r="H335" s="2">
        <v>1.0884</v>
      </c>
      <c r="I335" s="2">
        <v>0</v>
      </c>
      <c r="J335" s="2">
        <v>0.31890000000000002</v>
      </c>
      <c r="K335" s="2">
        <v>3.3033999999999999</v>
      </c>
      <c r="L335" s="2">
        <v>0</v>
      </c>
      <c r="M335" s="20" t="str">
        <f t="shared" si="20"/>
        <v>820.81</v>
      </c>
      <c r="N335" s="21">
        <f t="shared" si="21"/>
        <v>-0.97020000000000006</v>
      </c>
      <c r="O335" s="21">
        <f t="shared" si="22"/>
        <v>3.3033999999999999</v>
      </c>
      <c r="P335" s="21">
        <f t="shared" si="23"/>
        <v>-2.9844999999999997</v>
      </c>
    </row>
    <row r="336" spans="1:16" ht="15" customHeight="1" x14ac:dyDescent="0.3">
      <c r="A336" s="7" t="s">
        <v>331</v>
      </c>
      <c r="B336" s="7" t="s">
        <v>570</v>
      </c>
      <c r="C336" s="3" t="s">
        <v>741</v>
      </c>
      <c r="D336" s="8" t="s">
        <v>1</v>
      </c>
      <c r="E336" s="8" t="s">
        <v>41</v>
      </c>
      <c r="F336" s="6">
        <v>12</v>
      </c>
      <c r="G336" s="2">
        <v>0.87180000000000002</v>
      </c>
      <c r="H336" s="2">
        <v>4.3999999999999997E-2</v>
      </c>
      <c r="I336" s="2">
        <v>0</v>
      </c>
      <c r="J336" s="2">
        <v>8.5823999999999998</v>
      </c>
      <c r="K336" s="2">
        <v>0.58599999999999997</v>
      </c>
      <c r="L336" s="2">
        <v>0</v>
      </c>
      <c r="M336" s="20" t="str">
        <f t="shared" si="20"/>
        <v>-94.95</v>
      </c>
      <c r="N336" s="21">
        <f t="shared" si="21"/>
        <v>0.82779999999999998</v>
      </c>
      <c r="O336" s="21">
        <f t="shared" si="22"/>
        <v>0.58599999999999997</v>
      </c>
      <c r="P336" s="21">
        <f t="shared" si="23"/>
        <v>7.9963999999999995</v>
      </c>
    </row>
    <row r="337" spans="1:16" ht="15" customHeight="1" x14ac:dyDescent="0.3">
      <c r="A337" s="7" t="s">
        <v>332</v>
      </c>
      <c r="B337" s="7" t="s">
        <v>570</v>
      </c>
      <c r="C337" s="3" t="s">
        <v>741</v>
      </c>
      <c r="D337" s="8" t="s">
        <v>1</v>
      </c>
      <c r="E337" s="8" t="s">
        <v>41</v>
      </c>
      <c r="F337" s="6">
        <v>12</v>
      </c>
      <c r="G337" s="2">
        <v>5.4508000000000001</v>
      </c>
      <c r="H337" s="2">
        <v>2.1189</v>
      </c>
      <c r="I337" s="2">
        <v>0.77749999999999997</v>
      </c>
      <c r="J337" s="2">
        <v>70.866600000000005</v>
      </c>
      <c r="K337" s="2">
        <v>26.7118</v>
      </c>
      <c r="L337" s="2">
        <v>8.9403000000000006</v>
      </c>
      <c r="M337" s="20" t="str">
        <f t="shared" si="20"/>
        <v>-61.13</v>
      </c>
      <c r="N337" s="21">
        <f t="shared" si="21"/>
        <v>3.3319000000000001</v>
      </c>
      <c r="O337" s="21">
        <f t="shared" si="22"/>
        <v>17.7715</v>
      </c>
      <c r="P337" s="21">
        <f t="shared" si="23"/>
        <v>44.154800000000009</v>
      </c>
    </row>
    <row r="338" spans="1:16" ht="15" customHeight="1" x14ac:dyDescent="0.3">
      <c r="A338" s="7" t="s">
        <v>333</v>
      </c>
      <c r="B338" s="7" t="s">
        <v>570</v>
      </c>
      <c r="C338" s="3" t="s">
        <v>741</v>
      </c>
      <c r="D338" s="8" t="s">
        <v>1</v>
      </c>
      <c r="E338" s="8" t="s">
        <v>12</v>
      </c>
      <c r="F338" s="6">
        <v>24</v>
      </c>
      <c r="G338" s="2">
        <v>9.06E-2</v>
      </c>
      <c r="H338" s="2">
        <v>0</v>
      </c>
      <c r="I338" s="2">
        <v>0</v>
      </c>
      <c r="J338" s="2">
        <v>1.3372999999999999</v>
      </c>
      <c r="K338" s="2">
        <v>0</v>
      </c>
      <c r="L338" s="2">
        <v>0</v>
      </c>
      <c r="M338" s="20" t="str">
        <f t="shared" si="20"/>
        <v>0.00</v>
      </c>
      <c r="N338" s="21">
        <f t="shared" si="21"/>
        <v>9.06E-2</v>
      </c>
      <c r="O338" s="21">
        <f t="shared" si="22"/>
        <v>0</v>
      </c>
      <c r="P338" s="21">
        <f t="shared" si="23"/>
        <v>1.3372999999999999</v>
      </c>
    </row>
    <row r="339" spans="1:16" ht="15" customHeight="1" x14ac:dyDescent="0.3">
      <c r="A339" s="7" t="s">
        <v>334</v>
      </c>
      <c r="B339" s="7" t="s">
        <v>570</v>
      </c>
      <c r="C339" s="3" t="s">
        <v>741</v>
      </c>
      <c r="D339" s="8" t="s">
        <v>1</v>
      </c>
      <c r="E339" s="8" t="s">
        <v>2</v>
      </c>
      <c r="F339" s="6">
        <v>37</v>
      </c>
      <c r="G339" s="2">
        <v>1.3827</v>
      </c>
      <c r="H339" s="2">
        <v>0.7681</v>
      </c>
      <c r="I339" s="2">
        <v>2.3199999999999998E-2</v>
      </c>
      <c r="J339" s="2">
        <v>23.328099999999999</v>
      </c>
      <c r="K339" s="2">
        <v>13.2523</v>
      </c>
      <c r="L339" s="2">
        <v>0.52669999999999995</v>
      </c>
      <c r="M339" s="20" t="str">
        <f t="shared" si="20"/>
        <v>-44.45</v>
      </c>
      <c r="N339" s="21">
        <f t="shared" si="21"/>
        <v>0.61460000000000004</v>
      </c>
      <c r="O339" s="21">
        <f t="shared" si="22"/>
        <v>12.7256</v>
      </c>
      <c r="P339" s="21">
        <f t="shared" si="23"/>
        <v>10.075799999999999</v>
      </c>
    </row>
    <row r="340" spans="1:16" ht="15" customHeight="1" x14ac:dyDescent="0.3">
      <c r="A340" s="7" t="s">
        <v>335</v>
      </c>
      <c r="B340" s="7" t="s">
        <v>570</v>
      </c>
      <c r="C340" s="3" t="s">
        <v>741</v>
      </c>
      <c r="D340" s="8" t="s">
        <v>1</v>
      </c>
      <c r="E340" s="8" t="s">
        <v>12</v>
      </c>
      <c r="F340" s="6">
        <v>48</v>
      </c>
      <c r="G340" s="2">
        <v>0</v>
      </c>
      <c r="H340" s="2">
        <v>0</v>
      </c>
      <c r="I340" s="2">
        <v>20.740400000000001</v>
      </c>
      <c r="J340" s="2">
        <v>0</v>
      </c>
      <c r="K340" s="2">
        <v>0</v>
      </c>
      <c r="L340" s="2">
        <v>310.0301</v>
      </c>
      <c r="M340" s="20" t="str">
        <f t="shared" si="20"/>
        <v>0.00</v>
      </c>
      <c r="N340" s="21">
        <f t="shared" si="21"/>
        <v>0</v>
      </c>
      <c r="O340" s="21">
        <f t="shared" si="22"/>
        <v>-310.0301</v>
      </c>
      <c r="P340" s="21">
        <f t="shared" si="23"/>
        <v>0</v>
      </c>
    </row>
    <row r="341" spans="1:16" ht="15" customHeight="1" x14ac:dyDescent="0.3">
      <c r="A341" s="7" t="s">
        <v>336</v>
      </c>
      <c r="B341" s="7" t="s">
        <v>570</v>
      </c>
      <c r="C341" s="3" t="s">
        <v>741</v>
      </c>
      <c r="D341" s="8" t="s">
        <v>1</v>
      </c>
      <c r="E341" s="8" t="s">
        <v>12</v>
      </c>
      <c r="F341" s="6">
        <v>48</v>
      </c>
      <c r="G341" s="2">
        <v>0</v>
      </c>
      <c r="H341" s="2">
        <v>0</v>
      </c>
      <c r="I341" s="2">
        <v>1.2435</v>
      </c>
      <c r="J341" s="2">
        <v>0</v>
      </c>
      <c r="K341" s="2">
        <v>0</v>
      </c>
      <c r="L341" s="2">
        <v>17.1813</v>
      </c>
      <c r="M341" s="20" t="str">
        <f t="shared" si="20"/>
        <v>0.00</v>
      </c>
      <c r="N341" s="21">
        <f t="shared" si="21"/>
        <v>0</v>
      </c>
      <c r="O341" s="21">
        <f t="shared" si="22"/>
        <v>-17.1813</v>
      </c>
      <c r="P341" s="21">
        <f t="shared" si="23"/>
        <v>0</v>
      </c>
    </row>
    <row r="342" spans="1:16" ht="15" customHeight="1" x14ac:dyDescent="0.3">
      <c r="A342" s="7" t="s">
        <v>337</v>
      </c>
      <c r="B342" s="7" t="s">
        <v>570</v>
      </c>
      <c r="C342" s="3" t="s">
        <v>741</v>
      </c>
      <c r="D342" s="8" t="s">
        <v>1</v>
      </c>
      <c r="E342" s="8" t="s">
        <v>12</v>
      </c>
      <c r="F342" s="6">
        <v>48</v>
      </c>
      <c r="G342" s="2">
        <v>4.0780000000000003</v>
      </c>
      <c r="H342" s="2">
        <v>35.126199999999997</v>
      </c>
      <c r="I342" s="2">
        <v>26.273900000000001</v>
      </c>
      <c r="J342" s="2">
        <v>71.718599999999995</v>
      </c>
      <c r="K342" s="2">
        <v>592.5693</v>
      </c>
      <c r="L342" s="2">
        <v>441.30500000000001</v>
      </c>
      <c r="M342" s="20" t="str">
        <f t="shared" si="20"/>
        <v>761.36</v>
      </c>
      <c r="N342" s="21">
        <f t="shared" si="21"/>
        <v>-31.048199999999998</v>
      </c>
      <c r="O342" s="21">
        <f t="shared" si="22"/>
        <v>151.26429999999999</v>
      </c>
      <c r="P342" s="21">
        <f t="shared" si="23"/>
        <v>-520.85069999999996</v>
      </c>
    </row>
    <row r="343" spans="1:16" ht="15" customHeight="1" x14ac:dyDescent="0.3">
      <c r="A343" s="7" t="s">
        <v>338</v>
      </c>
      <c r="B343" s="7" t="s">
        <v>570</v>
      </c>
      <c r="C343" s="3" t="s">
        <v>741</v>
      </c>
      <c r="D343" s="8" t="s">
        <v>1</v>
      </c>
      <c r="E343" s="8" t="s">
        <v>12</v>
      </c>
      <c r="F343" s="6">
        <v>48</v>
      </c>
      <c r="G343" s="2">
        <v>264.06810000000002</v>
      </c>
      <c r="H343" s="2">
        <v>329.44319999999999</v>
      </c>
      <c r="I343" s="2">
        <v>205.9486</v>
      </c>
      <c r="J343" s="2">
        <v>3958.0279</v>
      </c>
      <c r="K343" s="2">
        <v>5113.9928</v>
      </c>
      <c r="L343" s="2">
        <v>2876.5592000000001</v>
      </c>
      <c r="M343" s="20" t="str">
        <f t="shared" si="20"/>
        <v>24.76</v>
      </c>
      <c r="N343" s="21">
        <f t="shared" si="21"/>
        <v>-65.375099999999975</v>
      </c>
      <c r="O343" s="21">
        <f t="shared" si="22"/>
        <v>2237.4335999999998</v>
      </c>
      <c r="P343" s="21">
        <f t="shared" si="23"/>
        <v>-1155.9648999999999</v>
      </c>
    </row>
    <row r="344" spans="1:16" ht="15" customHeight="1" x14ac:dyDescent="0.3">
      <c r="A344" s="7" t="s">
        <v>339</v>
      </c>
      <c r="B344" s="7" t="s">
        <v>570</v>
      </c>
      <c r="C344" s="3" t="s">
        <v>741</v>
      </c>
      <c r="D344" s="8" t="s">
        <v>1</v>
      </c>
      <c r="E344" s="8" t="s">
        <v>12</v>
      </c>
      <c r="F344" s="6">
        <v>52</v>
      </c>
      <c r="G344" s="2">
        <v>8.5046999999999997</v>
      </c>
      <c r="H344" s="2">
        <v>12.872299999999999</v>
      </c>
      <c r="I344" s="2">
        <v>4.3821000000000003</v>
      </c>
      <c r="J344" s="2">
        <v>194.4057</v>
      </c>
      <c r="K344" s="2">
        <v>338.25259999999997</v>
      </c>
      <c r="L344" s="2">
        <v>110.48520000000001</v>
      </c>
      <c r="M344" s="20" t="str">
        <f t="shared" si="20"/>
        <v>51.36</v>
      </c>
      <c r="N344" s="21">
        <f t="shared" si="21"/>
        <v>-4.3675999999999995</v>
      </c>
      <c r="O344" s="21">
        <f t="shared" si="22"/>
        <v>227.76739999999995</v>
      </c>
      <c r="P344" s="21">
        <f t="shared" si="23"/>
        <v>-143.84689999999998</v>
      </c>
    </row>
    <row r="345" spans="1:16" ht="15" customHeight="1" x14ac:dyDescent="0.3">
      <c r="A345" s="7" t="s">
        <v>340</v>
      </c>
      <c r="B345" s="7" t="s">
        <v>570</v>
      </c>
      <c r="C345" s="3" t="s">
        <v>741</v>
      </c>
      <c r="D345" s="8" t="s">
        <v>1</v>
      </c>
      <c r="E345" s="8" t="s">
        <v>12</v>
      </c>
      <c r="F345" s="6">
        <v>52</v>
      </c>
      <c r="G345" s="2">
        <v>171.4581</v>
      </c>
      <c r="H345" s="2">
        <v>146.56880000000001</v>
      </c>
      <c r="I345" s="2">
        <v>94.527100000000004</v>
      </c>
      <c r="J345" s="2">
        <v>5827.8176999999996</v>
      </c>
      <c r="K345" s="2">
        <v>5036.4476000000004</v>
      </c>
      <c r="L345" s="2">
        <v>3121.8564000000001</v>
      </c>
      <c r="M345" s="20" t="str">
        <f t="shared" si="20"/>
        <v>-14.52</v>
      </c>
      <c r="N345" s="21">
        <f t="shared" si="21"/>
        <v>24.889299999999992</v>
      </c>
      <c r="O345" s="21">
        <f t="shared" si="22"/>
        <v>1914.5912000000003</v>
      </c>
      <c r="P345" s="21">
        <f t="shared" si="23"/>
        <v>791.37009999999918</v>
      </c>
    </row>
    <row r="346" spans="1:16" ht="15" customHeight="1" x14ac:dyDescent="0.3">
      <c r="A346" s="7" t="s">
        <v>341</v>
      </c>
      <c r="B346" s="7" t="s">
        <v>570</v>
      </c>
      <c r="C346" s="3" t="s">
        <v>741</v>
      </c>
      <c r="D346" s="8" t="s">
        <v>1</v>
      </c>
      <c r="E346" s="8" t="s">
        <v>12</v>
      </c>
      <c r="F346" s="6">
        <v>52</v>
      </c>
      <c r="G346" s="2">
        <v>195.73400000000001</v>
      </c>
      <c r="H346" s="2">
        <v>242.5813</v>
      </c>
      <c r="I346" s="2">
        <v>163.20820000000001</v>
      </c>
      <c r="J346" s="2">
        <v>3936.1988000000001</v>
      </c>
      <c r="K346" s="2">
        <v>5003.2757000000001</v>
      </c>
      <c r="L346" s="2">
        <v>3062.0891000000001</v>
      </c>
      <c r="M346" s="20" t="str">
        <f t="shared" si="20"/>
        <v>23.93</v>
      </c>
      <c r="N346" s="21">
        <f t="shared" si="21"/>
        <v>-46.84729999999999</v>
      </c>
      <c r="O346" s="21">
        <f t="shared" si="22"/>
        <v>1941.1866</v>
      </c>
      <c r="P346" s="21">
        <f t="shared" si="23"/>
        <v>-1067.0769</v>
      </c>
    </row>
    <row r="347" spans="1:16" ht="15" customHeight="1" x14ac:dyDescent="0.3">
      <c r="A347" s="7" t="s">
        <v>342</v>
      </c>
      <c r="B347" s="7" t="s">
        <v>570</v>
      </c>
      <c r="C347" s="3" t="s">
        <v>741</v>
      </c>
      <c r="D347" s="8" t="s">
        <v>1</v>
      </c>
      <c r="E347" s="8" t="s">
        <v>12</v>
      </c>
      <c r="F347" s="6">
        <v>52</v>
      </c>
      <c r="G347" s="2">
        <v>0.2492</v>
      </c>
      <c r="H347" s="2">
        <v>5.8500000000000003E-2</v>
      </c>
      <c r="I347" s="2">
        <v>0</v>
      </c>
      <c r="J347" s="2">
        <v>4.6970000000000001</v>
      </c>
      <c r="K347" s="2">
        <v>1.1557999999999999</v>
      </c>
      <c r="L347" s="2">
        <v>0</v>
      </c>
      <c r="M347" s="20" t="str">
        <f t="shared" si="20"/>
        <v>-76.52</v>
      </c>
      <c r="N347" s="21">
        <f t="shared" si="21"/>
        <v>0.19070000000000001</v>
      </c>
      <c r="O347" s="21">
        <f t="shared" si="22"/>
        <v>1.1557999999999999</v>
      </c>
      <c r="P347" s="21">
        <f t="shared" si="23"/>
        <v>3.5411999999999999</v>
      </c>
    </row>
    <row r="348" spans="1:16" ht="15" customHeight="1" x14ac:dyDescent="0.3">
      <c r="A348" s="7" t="s">
        <v>343</v>
      </c>
      <c r="B348" s="7" t="s">
        <v>570</v>
      </c>
      <c r="C348" s="3" t="s">
        <v>741</v>
      </c>
      <c r="D348" s="8" t="s">
        <v>1</v>
      </c>
      <c r="E348" s="8" t="s">
        <v>12</v>
      </c>
      <c r="F348" s="6">
        <v>52</v>
      </c>
      <c r="G348" s="2">
        <v>0.97950000000000004</v>
      </c>
      <c r="H348" s="2">
        <v>0</v>
      </c>
      <c r="I348" s="2">
        <v>0</v>
      </c>
      <c r="J348" s="2">
        <v>23.239000000000001</v>
      </c>
      <c r="K348" s="2">
        <v>0</v>
      </c>
      <c r="L348" s="2">
        <v>0</v>
      </c>
      <c r="M348" s="20" t="str">
        <f t="shared" si="20"/>
        <v>0.00</v>
      </c>
      <c r="N348" s="21">
        <f t="shared" si="21"/>
        <v>0.97950000000000004</v>
      </c>
      <c r="O348" s="21">
        <f t="shared" si="22"/>
        <v>0</v>
      </c>
      <c r="P348" s="21">
        <f t="shared" si="23"/>
        <v>23.239000000000001</v>
      </c>
    </row>
    <row r="349" spans="1:16" ht="15" customHeight="1" x14ac:dyDescent="0.3">
      <c r="A349" s="7" t="s">
        <v>344</v>
      </c>
      <c r="B349" s="7" t="s">
        <v>570</v>
      </c>
      <c r="C349" s="3" t="s">
        <v>741</v>
      </c>
      <c r="D349" s="8" t="s">
        <v>1</v>
      </c>
      <c r="E349" s="8" t="s">
        <v>12</v>
      </c>
      <c r="F349" s="6">
        <v>52</v>
      </c>
      <c r="G349" s="2">
        <v>1.0518000000000001</v>
      </c>
      <c r="H349" s="2">
        <v>0</v>
      </c>
      <c r="I349" s="2">
        <v>0</v>
      </c>
      <c r="J349" s="2">
        <v>15.4772</v>
      </c>
      <c r="K349" s="2">
        <v>0</v>
      </c>
      <c r="L349" s="2">
        <v>0</v>
      </c>
      <c r="M349" s="20" t="str">
        <f t="shared" si="20"/>
        <v>0.00</v>
      </c>
      <c r="N349" s="21">
        <f t="shared" si="21"/>
        <v>1.0518000000000001</v>
      </c>
      <c r="O349" s="21">
        <f t="shared" si="22"/>
        <v>0</v>
      </c>
      <c r="P349" s="21">
        <f t="shared" si="23"/>
        <v>15.4772</v>
      </c>
    </row>
    <row r="350" spans="1:16" ht="15" customHeight="1" x14ac:dyDescent="0.3">
      <c r="A350" s="7" t="s">
        <v>345</v>
      </c>
      <c r="B350" s="7" t="s">
        <v>570</v>
      </c>
      <c r="C350" s="3" t="s">
        <v>741</v>
      </c>
      <c r="D350" s="8" t="s">
        <v>1</v>
      </c>
      <c r="E350" s="8" t="s">
        <v>12</v>
      </c>
      <c r="F350" s="6">
        <v>52</v>
      </c>
      <c r="G350" s="2">
        <v>1.23</v>
      </c>
      <c r="H350" s="2">
        <v>5.5100000000000003E-2</v>
      </c>
      <c r="I350" s="2">
        <v>0</v>
      </c>
      <c r="J350" s="2">
        <v>22.518699999999999</v>
      </c>
      <c r="K350" s="2">
        <v>1.0911</v>
      </c>
      <c r="L350" s="2">
        <v>0</v>
      </c>
      <c r="M350" s="20" t="str">
        <f t="shared" si="20"/>
        <v>-95.52</v>
      </c>
      <c r="N350" s="21">
        <f t="shared" si="21"/>
        <v>1.1749000000000001</v>
      </c>
      <c r="O350" s="21">
        <f t="shared" si="22"/>
        <v>1.0911</v>
      </c>
      <c r="P350" s="21">
        <f t="shared" si="23"/>
        <v>21.427599999999998</v>
      </c>
    </row>
    <row r="351" spans="1:16" ht="15" customHeight="1" x14ac:dyDescent="0.3">
      <c r="A351" s="7" t="s">
        <v>346</v>
      </c>
      <c r="B351" s="7" t="s">
        <v>570</v>
      </c>
      <c r="C351" s="3" t="s">
        <v>741</v>
      </c>
      <c r="D351" s="8" t="s">
        <v>1</v>
      </c>
      <c r="E351" s="8" t="s">
        <v>12</v>
      </c>
      <c r="F351" s="6">
        <v>52</v>
      </c>
      <c r="G351" s="2">
        <v>0.64070000000000005</v>
      </c>
      <c r="H351" s="2">
        <v>0</v>
      </c>
      <c r="I351" s="2">
        <v>0</v>
      </c>
      <c r="J351" s="2">
        <v>15.170299999999999</v>
      </c>
      <c r="K351" s="2">
        <v>0</v>
      </c>
      <c r="L351" s="2">
        <v>0</v>
      </c>
      <c r="M351" s="20" t="str">
        <f t="shared" si="20"/>
        <v>0.00</v>
      </c>
      <c r="N351" s="21">
        <f t="shared" si="21"/>
        <v>0.64070000000000005</v>
      </c>
      <c r="O351" s="21">
        <f t="shared" si="22"/>
        <v>0</v>
      </c>
      <c r="P351" s="21">
        <f t="shared" si="23"/>
        <v>15.170299999999999</v>
      </c>
    </row>
    <row r="352" spans="1:16" ht="15" customHeight="1" x14ac:dyDescent="0.3">
      <c r="A352" s="7" t="s">
        <v>347</v>
      </c>
      <c r="B352" s="7" t="s">
        <v>570</v>
      </c>
      <c r="C352" s="3" t="s">
        <v>741</v>
      </c>
      <c r="D352" s="8" t="s">
        <v>1</v>
      </c>
      <c r="E352" s="8" t="s">
        <v>12</v>
      </c>
      <c r="F352" s="6">
        <v>52</v>
      </c>
      <c r="G352" s="2">
        <v>0.8125</v>
      </c>
      <c r="H352" s="2">
        <v>2.2100000000000002E-2</v>
      </c>
      <c r="I352" s="2">
        <v>0</v>
      </c>
      <c r="J352" s="2">
        <v>14.451000000000001</v>
      </c>
      <c r="K352" s="2">
        <v>0.38290000000000002</v>
      </c>
      <c r="L352" s="2">
        <v>0</v>
      </c>
      <c r="M352" s="20" t="str">
        <f t="shared" si="20"/>
        <v>-97.28</v>
      </c>
      <c r="N352" s="21">
        <f t="shared" si="21"/>
        <v>0.79039999999999999</v>
      </c>
      <c r="O352" s="21">
        <f t="shared" si="22"/>
        <v>0.38290000000000002</v>
      </c>
      <c r="P352" s="21">
        <f t="shared" si="23"/>
        <v>14.068100000000001</v>
      </c>
    </row>
    <row r="353" spans="1:16" ht="15" customHeight="1" x14ac:dyDescent="0.3">
      <c r="A353" s="7" t="s">
        <v>348</v>
      </c>
      <c r="B353" s="7" t="s">
        <v>570</v>
      </c>
      <c r="C353" s="3" t="s">
        <v>741</v>
      </c>
      <c r="D353" s="8" t="s">
        <v>1</v>
      </c>
      <c r="E353" s="8" t="s">
        <v>12</v>
      </c>
      <c r="F353" s="6">
        <v>52</v>
      </c>
      <c r="G353" s="2">
        <v>0.40889999999999999</v>
      </c>
      <c r="H353" s="2">
        <v>7.7899999999999997E-2</v>
      </c>
      <c r="I353" s="2">
        <v>0</v>
      </c>
      <c r="J353" s="2">
        <v>9.6999999999999993</v>
      </c>
      <c r="K353" s="2">
        <v>1.9962</v>
      </c>
      <c r="L353" s="2">
        <v>0</v>
      </c>
      <c r="M353" s="20" t="str">
        <f t="shared" si="20"/>
        <v>-80.95</v>
      </c>
      <c r="N353" s="21">
        <f t="shared" si="21"/>
        <v>0.33099999999999996</v>
      </c>
      <c r="O353" s="21">
        <f t="shared" si="22"/>
        <v>1.9962</v>
      </c>
      <c r="P353" s="21">
        <f t="shared" si="23"/>
        <v>7.7037999999999993</v>
      </c>
    </row>
    <row r="354" spans="1:16" ht="15" customHeight="1" x14ac:dyDescent="0.3">
      <c r="A354" s="7" t="s">
        <v>349</v>
      </c>
      <c r="B354" s="7" t="s">
        <v>570</v>
      </c>
      <c r="C354" s="3" t="s">
        <v>741</v>
      </c>
      <c r="D354" s="8" t="s">
        <v>1</v>
      </c>
      <c r="E354" s="8" t="s">
        <v>12</v>
      </c>
      <c r="F354" s="6">
        <v>52</v>
      </c>
      <c r="G354" s="2">
        <v>1.716</v>
      </c>
      <c r="H354" s="2">
        <v>0</v>
      </c>
      <c r="I354" s="2">
        <v>0</v>
      </c>
      <c r="J354" s="2">
        <v>43.815600000000003</v>
      </c>
      <c r="K354" s="2">
        <v>0</v>
      </c>
      <c r="L354" s="2">
        <v>0</v>
      </c>
      <c r="M354" s="20" t="str">
        <f t="shared" si="20"/>
        <v>0.00</v>
      </c>
      <c r="N354" s="21">
        <f t="shared" si="21"/>
        <v>1.716</v>
      </c>
      <c r="O354" s="21">
        <f t="shared" si="22"/>
        <v>0</v>
      </c>
      <c r="P354" s="21">
        <f t="shared" si="23"/>
        <v>43.815600000000003</v>
      </c>
    </row>
    <row r="355" spans="1:16" ht="15" customHeight="1" x14ac:dyDescent="0.3">
      <c r="A355" s="7" t="s">
        <v>350</v>
      </c>
      <c r="B355" s="7" t="s">
        <v>570</v>
      </c>
      <c r="C355" s="3" t="s">
        <v>741</v>
      </c>
      <c r="D355" s="8" t="s">
        <v>1</v>
      </c>
      <c r="E355" s="8" t="s">
        <v>12</v>
      </c>
      <c r="F355" s="6">
        <v>52</v>
      </c>
      <c r="G355" s="2">
        <v>0.17050000000000001</v>
      </c>
      <c r="H355" s="2">
        <v>7.7700000000000005E-2</v>
      </c>
      <c r="I355" s="2">
        <v>0</v>
      </c>
      <c r="J355" s="2">
        <v>3.5674000000000001</v>
      </c>
      <c r="K355" s="2">
        <v>1.7087000000000001</v>
      </c>
      <c r="L355" s="2">
        <v>0</v>
      </c>
      <c r="M355" s="20" t="str">
        <f t="shared" si="20"/>
        <v>-54.43</v>
      </c>
      <c r="N355" s="21">
        <f t="shared" si="21"/>
        <v>9.2800000000000007E-2</v>
      </c>
      <c r="O355" s="21">
        <f t="shared" si="22"/>
        <v>1.7087000000000001</v>
      </c>
      <c r="P355" s="21">
        <f t="shared" si="23"/>
        <v>1.8587</v>
      </c>
    </row>
    <row r="356" spans="1:16" ht="15" customHeight="1" x14ac:dyDescent="0.3">
      <c r="A356" s="7" t="s">
        <v>351</v>
      </c>
      <c r="B356" s="7" t="s">
        <v>570</v>
      </c>
      <c r="C356" s="3" t="s">
        <v>741</v>
      </c>
      <c r="D356" s="8" t="s">
        <v>1</v>
      </c>
      <c r="E356" s="8" t="s">
        <v>12</v>
      </c>
      <c r="F356" s="6">
        <v>52</v>
      </c>
      <c r="G356" s="2">
        <v>1.5501</v>
      </c>
      <c r="H356" s="2">
        <v>0.42659999999999998</v>
      </c>
      <c r="I356" s="2">
        <v>0.12859999999999999</v>
      </c>
      <c r="J356" s="2">
        <v>28.959800000000001</v>
      </c>
      <c r="K356" s="2">
        <v>8.7736999999999998</v>
      </c>
      <c r="L356" s="2">
        <v>2.5320999999999998</v>
      </c>
      <c r="M356" s="20" t="str">
        <f t="shared" si="20"/>
        <v>-72.48</v>
      </c>
      <c r="N356" s="21">
        <f t="shared" si="21"/>
        <v>1.1234999999999999</v>
      </c>
      <c r="O356" s="21">
        <f t="shared" si="22"/>
        <v>6.2416</v>
      </c>
      <c r="P356" s="21">
        <f t="shared" si="23"/>
        <v>20.186100000000003</v>
      </c>
    </row>
    <row r="357" spans="1:16" ht="15" customHeight="1" x14ac:dyDescent="0.3">
      <c r="A357" s="7" t="s">
        <v>352</v>
      </c>
      <c r="B357" s="7" t="s">
        <v>570</v>
      </c>
      <c r="C357" s="3" t="s">
        <v>741</v>
      </c>
      <c r="D357" s="8" t="s">
        <v>1</v>
      </c>
      <c r="E357" s="8" t="s">
        <v>12</v>
      </c>
      <c r="F357" s="6">
        <v>52</v>
      </c>
      <c r="G357" s="2">
        <v>0.83640000000000003</v>
      </c>
      <c r="H357" s="2">
        <v>0.51139999999999997</v>
      </c>
      <c r="I357" s="2">
        <v>0</v>
      </c>
      <c r="J357" s="2">
        <v>18.6389</v>
      </c>
      <c r="K357" s="2">
        <v>9.5508000000000006</v>
      </c>
      <c r="L357" s="2">
        <v>0</v>
      </c>
      <c r="M357" s="20" t="str">
        <f t="shared" si="20"/>
        <v>-38.86</v>
      </c>
      <c r="N357" s="21">
        <f t="shared" si="21"/>
        <v>0.32500000000000007</v>
      </c>
      <c r="O357" s="21">
        <f t="shared" si="22"/>
        <v>9.5508000000000006</v>
      </c>
      <c r="P357" s="21">
        <f t="shared" si="23"/>
        <v>9.088099999999999</v>
      </c>
    </row>
    <row r="358" spans="1:16" ht="15" customHeight="1" x14ac:dyDescent="0.3">
      <c r="A358" s="7" t="s">
        <v>353</v>
      </c>
      <c r="B358" s="7" t="s">
        <v>570</v>
      </c>
      <c r="C358" s="3" t="s">
        <v>741</v>
      </c>
      <c r="D358" s="8" t="s">
        <v>1</v>
      </c>
      <c r="E358" s="8" t="s">
        <v>12</v>
      </c>
      <c r="F358" s="6">
        <v>52</v>
      </c>
      <c r="G358" s="2">
        <v>0.72089999999999999</v>
      </c>
      <c r="H358" s="2">
        <v>0</v>
      </c>
      <c r="I358" s="2">
        <v>0</v>
      </c>
      <c r="J358" s="2">
        <v>9.8262</v>
      </c>
      <c r="K358" s="2">
        <v>0</v>
      </c>
      <c r="L358" s="2">
        <v>0</v>
      </c>
      <c r="M358" s="20" t="str">
        <f t="shared" si="20"/>
        <v>0.00</v>
      </c>
      <c r="N358" s="21">
        <f t="shared" si="21"/>
        <v>0.72089999999999999</v>
      </c>
      <c r="O358" s="21">
        <f t="shared" si="22"/>
        <v>0</v>
      </c>
      <c r="P358" s="21">
        <f t="shared" si="23"/>
        <v>9.8262</v>
      </c>
    </row>
    <row r="359" spans="1:16" ht="15" customHeight="1" x14ac:dyDescent="0.3">
      <c r="A359" s="7" t="s">
        <v>354</v>
      </c>
      <c r="B359" s="7" t="s">
        <v>570</v>
      </c>
      <c r="C359" s="3" t="s">
        <v>741</v>
      </c>
      <c r="D359" s="8" t="s">
        <v>1</v>
      </c>
      <c r="E359" s="8" t="s">
        <v>12</v>
      </c>
      <c r="F359" s="6">
        <v>52</v>
      </c>
      <c r="G359" s="2">
        <v>0.48470000000000002</v>
      </c>
      <c r="H359" s="2">
        <v>0</v>
      </c>
      <c r="I359" s="2">
        <v>0</v>
      </c>
      <c r="J359" s="2">
        <v>10.088699999999999</v>
      </c>
      <c r="K359" s="2">
        <v>0</v>
      </c>
      <c r="L359" s="2">
        <v>0</v>
      </c>
      <c r="M359" s="20" t="str">
        <f t="shared" si="20"/>
        <v>0.00</v>
      </c>
      <c r="N359" s="21">
        <f t="shared" si="21"/>
        <v>0.48470000000000002</v>
      </c>
      <c r="O359" s="21">
        <f t="shared" si="22"/>
        <v>0</v>
      </c>
      <c r="P359" s="21">
        <f t="shared" si="23"/>
        <v>10.088699999999999</v>
      </c>
    </row>
    <row r="360" spans="1:16" ht="15" customHeight="1" x14ac:dyDescent="0.3">
      <c r="A360" s="7" t="s">
        <v>355</v>
      </c>
      <c r="B360" s="7" t="s">
        <v>570</v>
      </c>
      <c r="C360" s="3" t="s">
        <v>741</v>
      </c>
      <c r="D360" s="8" t="s">
        <v>1</v>
      </c>
      <c r="E360" s="8" t="s">
        <v>12</v>
      </c>
      <c r="F360" s="6">
        <v>52</v>
      </c>
      <c r="G360" s="2">
        <v>1.3634999999999999</v>
      </c>
      <c r="H360" s="2">
        <v>2.1999999999999999E-2</v>
      </c>
      <c r="I360" s="2">
        <v>0</v>
      </c>
      <c r="J360" s="2">
        <v>21.971299999999999</v>
      </c>
      <c r="K360" s="2">
        <v>0.34660000000000002</v>
      </c>
      <c r="L360" s="2">
        <v>0</v>
      </c>
      <c r="M360" s="20" t="str">
        <f t="shared" si="20"/>
        <v>-98.39</v>
      </c>
      <c r="N360" s="21">
        <f t="shared" si="21"/>
        <v>1.3414999999999999</v>
      </c>
      <c r="O360" s="21">
        <f t="shared" si="22"/>
        <v>0.34660000000000002</v>
      </c>
      <c r="P360" s="21">
        <f t="shared" si="23"/>
        <v>21.624700000000001</v>
      </c>
    </row>
    <row r="361" spans="1:16" ht="15" customHeight="1" x14ac:dyDescent="0.3">
      <c r="A361" s="7" t="s">
        <v>356</v>
      </c>
      <c r="B361" s="7" t="s">
        <v>570</v>
      </c>
      <c r="C361" s="3" t="s">
        <v>741</v>
      </c>
      <c r="D361" s="8" t="s">
        <v>1</v>
      </c>
      <c r="E361" s="8" t="s">
        <v>12</v>
      </c>
      <c r="F361" s="6">
        <v>52</v>
      </c>
      <c r="G361" s="2">
        <v>0.2001</v>
      </c>
      <c r="H361" s="2">
        <v>0</v>
      </c>
      <c r="I361" s="2">
        <v>0</v>
      </c>
      <c r="J361" s="2">
        <v>3.1530999999999998</v>
      </c>
      <c r="K361" s="2">
        <v>0</v>
      </c>
      <c r="L361" s="2">
        <v>0</v>
      </c>
      <c r="M361" s="20" t="str">
        <f t="shared" si="20"/>
        <v>0.00</v>
      </c>
      <c r="N361" s="21">
        <f t="shared" si="21"/>
        <v>0.2001</v>
      </c>
      <c r="O361" s="21">
        <f t="shared" si="22"/>
        <v>0</v>
      </c>
      <c r="P361" s="21">
        <f t="shared" si="23"/>
        <v>3.1530999999999998</v>
      </c>
    </row>
    <row r="362" spans="1:16" ht="15" customHeight="1" x14ac:dyDescent="0.3">
      <c r="A362" s="7" t="s">
        <v>357</v>
      </c>
      <c r="B362" s="7" t="s">
        <v>570</v>
      </c>
      <c r="C362" s="3" t="s">
        <v>741</v>
      </c>
      <c r="D362" s="8" t="s">
        <v>1</v>
      </c>
      <c r="E362" s="8" t="s">
        <v>12</v>
      </c>
      <c r="F362" s="6">
        <v>52</v>
      </c>
      <c r="G362" s="2">
        <v>0.30409999999999998</v>
      </c>
      <c r="H362" s="2">
        <v>0</v>
      </c>
      <c r="I362" s="2">
        <v>0</v>
      </c>
      <c r="J362" s="2">
        <v>4.4311999999999996</v>
      </c>
      <c r="K362" s="2">
        <v>0</v>
      </c>
      <c r="L362" s="2">
        <v>0</v>
      </c>
      <c r="M362" s="20" t="str">
        <f t="shared" si="20"/>
        <v>0.00</v>
      </c>
      <c r="N362" s="21">
        <f t="shared" si="21"/>
        <v>0.30409999999999998</v>
      </c>
      <c r="O362" s="21">
        <f t="shared" si="22"/>
        <v>0</v>
      </c>
      <c r="P362" s="21">
        <f t="shared" si="23"/>
        <v>4.4311999999999996</v>
      </c>
    </row>
    <row r="363" spans="1:16" ht="15" customHeight="1" x14ac:dyDescent="0.3">
      <c r="A363" s="7" t="s">
        <v>358</v>
      </c>
      <c r="B363" s="7" t="s">
        <v>570</v>
      </c>
      <c r="C363" s="3" t="s">
        <v>741</v>
      </c>
      <c r="D363" s="8" t="s">
        <v>1</v>
      </c>
      <c r="E363" s="8" t="s">
        <v>12</v>
      </c>
      <c r="F363" s="6">
        <v>52</v>
      </c>
      <c r="G363" s="2">
        <v>1.4756</v>
      </c>
      <c r="H363" s="2">
        <v>0.29549999999999998</v>
      </c>
      <c r="I363" s="2">
        <v>0.13869999999999999</v>
      </c>
      <c r="J363" s="2">
        <v>38.575499999999998</v>
      </c>
      <c r="K363" s="2">
        <v>5.6929999999999996</v>
      </c>
      <c r="L363" s="2">
        <v>2.5320999999999998</v>
      </c>
      <c r="M363" s="20" t="str">
        <f t="shared" si="20"/>
        <v>-79.97</v>
      </c>
      <c r="N363" s="21">
        <f t="shared" si="21"/>
        <v>1.1800999999999999</v>
      </c>
      <c r="O363" s="21">
        <f t="shared" si="22"/>
        <v>3.1608999999999998</v>
      </c>
      <c r="P363" s="21">
        <f t="shared" si="23"/>
        <v>32.8825</v>
      </c>
    </row>
    <row r="364" spans="1:16" ht="15" customHeight="1" x14ac:dyDescent="0.3">
      <c r="A364" s="7" t="s">
        <v>359</v>
      </c>
      <c r="B364" s="7" t="s">
        <v>570</v>
      </c>
      <c r="C364" s="3" t="s">
        <v>741</v>
      </c>
      <c r="D364" s="8" t="s">
        <v>1</v>
      </c>
      <c r="E364" s="8" t="s">
        <v>12</v>
      </c>
      <c r="F364" s="6">
        <v>52</v>
      </c>
      <c r="G364" s="2">
        <v>0.92279999999999995</v>
      </c>
      <c r="H364" s="2">
        <v>0</v>
      </c>
      <c r="I364" s="2">
        <v>0</v>
      </c>
      <c r="J364" s="2">
        <v>21.822199999999999</v>
      </c>
      <c r="K364" s="2">
        <v>0</v>
      </c>
      <c r="L364" s="2">
        <v>0</v>
      </c>
      <c r="M364" s="20" t="str">
        <f t="shared" si="20"/>
        <v>0.00</v>
      </c>
      <c r="N364" s="21">
        <f t="shared" si="21"/>
        <v>0.92279999999999995</v>
      </c>
      <c r="O364" s="21">
        <f t="shared" si="22"/>
        <v>0</v>
      </c>
      <c r="P364" s="21">
        <f t="shared" si="23"/>
        <v>21.822199999999999</v>
      </c>
    </row>
    <row r="365" spans="1:16" ht="15" customHeight="1" x14ac:dyDescent="0.3">
      <c r="A365" s="7" t="s">
        <v>360</v>
      </c>
      <c r="B365" s="7" t="s">
        <v>570</v>
      </c>
      <c r="C365" s="3" t="s">
        <v>741</v>
      </c>
      <c r="D365" s="8" t="s">
        <v>1</v>
      </c>
      <c r="E365" s="8" t="s">
        <v>12</v>
      </c>
      <c r="F365" s="6">
        <v>52</v>
      </c>
      <c r="G365" s="2">
        <v>105.723</v>
      </c>
      <c r="H365" s="2">
        <v>231.39109999999999</v>
      </c>
      <c r="I365" s="2">
        <v>190.30779999999999</v>
      </c>
      <c r="J365" s="2">
        <v>3632.1455999999998</v>
      </c>
      <c r="K365" s="2">
        <v>7878.6941999999999</v>
      </c>
      <c r="L365" s="2">
        <v>6167.0902999999998</v>
      </c>
      <c r="M365" s="20" t="str">
        <f t="shared" si="20"/>
        <v>118.87</v>
      </c>
      <c r="N365" s="21">
        <f t="shared" si="21"/>
        <v>-125.6681</v>
      </c>
      <c r="O365" s="21">
        <f t="shared" si="22"/>
        <v>1711.6039000000001</v>
      </c>
      <c r="P365" s="21">
        <f t="shared" si="23"/>
        <v>-4246.5486000000001</v>
      </c>
    </row>
    <row r="366" spans="1:16" ht="15" customHeight="1" x14ac:dyDescent="0.3">
      <c r="A366" s="7" t="s">
        <v>361</v>
      </c>
      <c r="B366" s="7" t="s">
        <v>570</v>
      </c>
      <c r="C366" s="3" t="s">
        <v>741</v>
      </c>
      <c r="D366" s="8" t="s">
        <v>1</v>
      </c>
      <c r="E366" s="8" t="s">
        <v>12</v>
      </c>
      <c r="F366" s="6">
        <v>52</v>
      </c>
      <c r="G366" s="2">
        <v>0.97140000000000004</v>
      </c>
      <c r="H366" s="2">
        <v>3.1E-2</v>
      </c>
      <c r="I366" s="2">
        <v>0</v>
      </c>
      <c r="J366" s="2">
        <v>22.952100000000002</v>
      </c>
      <c r="K366" s="2">
        <v>0.70540000000000003</v>
      </c>
      <c r="L366" s="2">
        <v>0</v>
      </c>
      <c r="M366" s="20" t="str">
        <f t="shared" si="20"/>
        <v>-96.81</v>
      </c>
      <c r="N366" s="21">
        <f t="shared" si="21"/>
        <v>0.94040000000000001</v>
      </c>
      <c r="O366" s="21">
        <f t="shared" si="22"/>
        <v>0.70540000000000003</v>
      </c>
      <c r="P366" s="21">
        <f t="shared" si="23"/>
        <v>22.246700000000001</v>
      </c>
    </row>
    <row r="367" spans="1:16" ht="15" customHeight="1" x14ac:dyDescent="0.3">
      <c r="A367" s="7" t="s">
        <v>362</v>
      </c>
      <c r="B367" s="7" t="s">
        <v>570</v>
      </c>
      <c r="C367" s="3" t="s">
        <v>741</v>
      </c>
      <c r="D367" s="8" t="s">
        <v>1</v>
      </c>
      <c r="E367" s="8" t="s">
        <v>12</v>
      </c>
      <c r="F367" s="6">
        <v>52</v>
      </c>
      <c r="G367" s="2">
        <v>0.23680000000000001</v>
      </c>
      <c r="H367" s="2">
        <v>0</v>
      </c>
      <c r="I367" s="2">
        <v>0</v>
      </c>
      <c r="J367" s="2">
        <v>4.3052000000000001</v>
      </c>
      <c r="K367" s="2">
        <v>0</v>
      </c>
      <c r="L367" s="2">
        <v>0</v>
      </c>
      <c r="M367" s="20" t="str">
        <f t="shared" si="20"/>
        <v>0.00</v>
      </c>
      <c r="N367" s="21">
        <f t="shared" si="21"/>
        <v>0.23680000000000001</v>
      </c>
      <c r="O367" s="21">
        <f t="shared" si="22"/>
        <v>0</v>
      </c>
      <c r="P367" s="21">
        <f t="shared" si="23"/>
        <v>4.3052000000000001</v>
      </c>
    </row>
    <row r="368" spans="1:16" ht="15" customHeight="1" x14ac:dyDescent="0.3">
      <c r="A368" s="7" t="s">
        <v>363</v>
      </c>
      <c r="B368" s="7" t="s">
        <v>570</v>
      </c>
      <c r="C368" s="3" t="s">
        <v>741</v>
      </c>
      <c r="D368" s="8" t="s">
        <v>1</v>
      </c>
      <c r="E368" s="8" t="s">
        <v>41</v>
      </c>
      <c r="F368" s="6">
        <v>52</v>
      </c>
      <c r="G368" s="2">
        <v>40.155500000000004</v>
      </c>
      <c r="H368" s="2">
        <v>53.039099999999998</v>
      </c>
      <c r="I368" s="2">
        <v>19.640599999999999</v>
      </c>
      <c r="J368" s="2">
        <v>809.24120000000005</v>
      </c>
      <c r="K368" s="2">
        <v>1117.5988</v>
      </c>
      <c r="L368" s="2">
        <v>353.57029999999997</v>
      </c>
      <c r="M368" s="20" t="str">
        <f t="shared" si="20"/>
        <v>32.08</v>
      </c>
      <c r="N368" s="21">
        <f t="shared" si="21"/>
        <v>-12.883599999999994</v>
      </c>
      <c r="O368" s="21">
        <f t="shared" si="22"/>
        <v>764.02850000000001</v>
      </c>
      <c r="P368" s="21">
        <f t="shared" si="23"/>
        <v>-308.35759999999993</v>
      </c>
    </row>
    <row r="369" spans="1:16" ht="15" customHeight="1" x14ac:dyDescent="0.3">
      <c r="A369" s="7" t="s">
        <v>364</v>
      </c>
      <c r="B369" s="7" t="s">
        <v>570</v>
      </c>
      <c r="C369" s="3" t="s">
        <v>741</v>
      </c>
      <c r="D369" s="8" t="s">
        <v>1</v>
      </c>
      <c r="E369" s="8" t="s">
        <v>41</v>
      </c>
      <c r="F369" s="6">
        <v>52</v>
      </c>
      <c r="G369" s="2">
        <v>124.0141</v>
      </c>
      <c r="H369" s="2">
        <v>119.1621</v>
      </c>
      <c r="I369" s="2">
        <v>72.991100000000003</v>
      </c>
      <c r="J369" s="2">
        <v>4179.8078999999998</v>
      </c>
      <c r="K369" s="2">
        <v>4057.9854</v>
      </c>
      <c r="L369" s="2">
        <v>2439.5360000000001</v>
      </c>
      <c r="M369" s="20" t="str">
        <f t="shared" si="20"/>
        <v>-3.91</v>
      </c>
      <c r="N369" s="21">
        <f t="shared" si="21"/>
        <v>4.8520000000000039</v>
      </c>
      <c r="O369" s="21">
        <f t="shared" si="22"/>
        <v>1618.4494</v>
      </c>
      <c r="P369" s="21">
        <f t="shared" si="23"/>
        <v>121.82249999999976</v>
      </c>
    </row>
    <row r="370" spans="1:16" ht="15" customHeight="1" x14ac:dyDescent="0.3">
      <c r="A370" s="7" t="s">
        <v>365</v>
      </c>
      <c r="B370" s="7" t="s">
        <v>570</v>
      </c>
      <c r="C370" s="3" t="s">
        <v>741</v>
      </c>
      <c r="D370" s="8" t="s">
        <v>1</v>
      </c>
      <c r="E370" s="8" t="s">
        <v>41</v>
      </c>
      <c r="F370" s="6">
        <v>52</v>
      </c>
      <c r="G370" s="2">
        <v>126.2456</v>
      </c>
      <c r="H370" s="2">
        <v>161.7927</v>
      </c>
      <c r="I370" s="2">
        <v>82.616799999999998</v>
      </c>
      <c r="J370" s="2">
        <v>2585.6873000000001</v>
      </c>
      <c r="K370" s="2">
        <v>3416.431</v>
      </c>
      <c r="L370" s="2">
        <v>1611.8206</v>
      </c>
      <c r="M370" s="20" t="str">
        <f t="shared" si="20"/>
        <v>28.16</v>
      </c>
      <c r="N370" s="21">
        <f t="shared" si="21"/>
        <v>-35.5471</v>
      </c>
      <c r="O370" s="21">
        <f t="shared" si="22"/>
        <v>1804.6104</v>
      </c>
      <c r="P370" s="21">
        <f t="shared" si="23"/>
        <v>-830.74369999999999</v>
      </c>
    </row>
    <row r="371" spans="1:16" ht="15" customHeight="1" x14ac:dyDescent="0.3">
      <c r="A371" s="7" t="s">
        <v>366</v>
      </c>
      <c r="B371" s="7" t="s">
        <v>570</v>
      </c>
      <c r="C371" s="3" t="s">
        <v>741</v>
      </c>
      <c r="D371" s="8" t="s">
        <v>1</v>
      </c>
      <c r="E371" s="8" t="s">
        <v>41</v>
      </c>
      <c r="F371" s="6">
        <v>52</v>
      </c>
      <c r="G371" s="2">
        <v>95.148099999999999</v>
      </c>
      <c r="H371" s="2">
        <v>213.16730000000001</v>
      </c>
      <c r="I371" s="2">
        <v>155.60400000000001</v>
      </c>
      <c r="J371" s="2">
        <v>3171.4767999999999</v>
      </c>
      <c r="K371" s="2">
        <v>7264.2154</v>
      </c>
      <c r="L371" s="2">
        <v>5013.7686000000003</v>
      </c>
      <c r="M371" s="20" t="str">
        <f t="shared" si="20"/>
        <v>124.04</v>
      </c>
      <c r="N371" s="21">
        <f t="shared" si="21"/>
        <v>-118.01920000000001</v>
      </c>
      <c r="O371" s="21">
        <f t="shared" si="22"/>
        <v>2250.4467999999997</v>
      </c>
      <c r="P371" s="21">
        <f t="shared" si="23"/>
        <v>-4092.7386000000001</v>
      </c>
    </row>
    <row r="372" spans="1:16" ht="15" customHeight="1" x14ac:dyDescent="0.3">
      <c r="A372" s="7" t="s">
        <v>367</v>
      </c>
      <c r="B372" s="7" t="s">
        <v>570</v>
      </c>
      <c r="C372" s="3" t="s">
        <v>741</v>
      </c>
      <c r="D372" s="8" t="s">
        <v>1</v>
      </c>
      <c r="E372" s="8" t="s">
        <v>41</v>
      </c>
      <c r="F372" s="6">
        <v>54</v>
      </c>
      <c r="G372" s="2">
        <v>19.249199999999998</v>
      </c>
      <c r="H372" s="2">
        <v>1.4004000000000001</v>
      </c>
      <c r="I372" s="2">
        <v>0</v>
      </c>
      <c r="J372" s="2">
        <v>316.69850000000002</v>
      </c>
      <c r="K372" s="2">
        <v>25.215900000000001</v>
      </c>
      <c r="L372" s="2">
        <v>0</v>
      </c>
      <c r="M372" s="20" t="str">
        <f t="shared" si="20"/>
        <v>-92.72</v>
      </c>
      <c r="N372" s="21">
        <f t="shared" si="21"/>
        <v>17.848799999999997</v>
      </c>
      <c r="O372" s="21">
        <f t="shared" si="22"/>
        <v>25.215900000000001</v>
      </c>
      <c r="P372" s="21">
        <f t="shared" si="23"/>
        <v>291.48260000000005</v>
      </c>
    </row>
    <row r="373" spans="1:16" ht="15" customHeight="1" x14ac:dyDescent="0.3">
      <c r="A373" s="7" t="s">
        <v>368</v>
      </c>
      <c r="B373" s="7" t="s">
        <v>570</v>
      </c>
      <c r="C373" s="3" t="s">
        <v>741</v>
      </c>
      <c r="D373" s="8" t="s">
        <v>1</v>
      </c>
      <c r="E373" s="8" t="s">
        <v>41</v>
      </c>
      <c r="F373" s="6">
        <v>56</v>
      </c>
      <c r="G373" s="2">
        <v>0.76639999999999997</v>
      </c>
      <c r="H373" s="2">
        <v>3.6499999999999998E-2</v>
      </c>
      <c r="I373" s="2">
        <v>0</v>
      </c>
      <c r="J373" s="2">
        <v>14.48</v>
      </c>
      <c r="K373" s="2">
        <v>0.67200000000000004</v>
      </c>
      <c r="L373" s="2">
        <v>0</v>
      </c>
      <c r="M373" s="20" t="str">
        <f t="shared" si="20"/>
        <v>-95.24</v>
      </c>
      <c r="N373" s="21">
        <f t="shared" si="21"/>
        <v>0.72989999999999999</v>
      </c>
      <c r="O373" s="21">
        <f t="shared" si="22"/>
        <v>0.67200000000000004</v>
      </c>
      <c r="P373" s="21">
        <f t="shared" si="23"/>
        <v>13.808</v>
      </c>
    </row>
    <row r="374" spans="1:16" ht="15" customHeight="1" x14ac:dyDescent="0.3">
      <c r="A374" s="7" t="s">
        <v>369</v>
      </c>
      <c r="B374" s="7" t="s">
        <v>570</v>
      </c>
      <c r="C374" s="3" t="s">
        <v>741</v>
      </c>
      <c r="D374" s="8" t="s">
        <v>1</v>
      </c>
      <c r="E374" s="8" t="s">
        <v>41</v>
      </c>
      <c r="F374" s="6">
        <v>56</v>
      </c>
      <c r="G374" s="2">
        <v>0.17649999999999999</v>
      </c>
      <c r="H374" s="2">
        <v>0</v>
      </c>
      <c r="I374" s="2">
        <v>0</v>
      </c>
      <c r="J374" s="2">
        <v>2.9144999999999999</v>
      </c>
      <c r="K374" s="2">
        <v>0</v>
      </c>
      <c r="L374" s="2">
        <v>0</v>
      </c>
      <c r="M374" s="20" t="str">
        <f t="shared" si="20"/>
        <v>0.00</v>
      </c>
      <c r="N374" s="21">
        <f t="shared" si="21"/>
        <v>0.17649999999999999</v>
      </c>
      <c r="O374" s="21">
        <f t="shared" si="22"/>
        <v>0</v>
      </c>
      <c r="P374" s="21">
        <f t="shared" si="23"/>
        <v>2.9144999999999999</v>
      </c>
    </row>
    <row r="375" spans="1:16" ht="15" customHeight="1" x14ac:dyDescent="0.3">
      <c r="A375" s="7" t="s">
        <v>370</v>
      </c>
      <c r="B375" s="7" t="s">
        <v>570</v>
      </c>
      <c r="C375" s="3" t="s">
        <v>741</v>
      </c>
      <c r="D375" s="8" t="s">
        <v>1</v>
      </c>
      <c r="E375" s="8" t="s">
        <v>41</v>
      </c>
      <c r="F375" s="6">
        <v>56</v>
      </c>
      <c r="G375" s="2">
        <v>3.9998</v>
      </c>
      <c r="H375" s="2">
        <v>2.0327000000000002</v>
      </c>
      <c r="I375" s="2">
        <v>0.44619999999999999</v>
      </c>
      <c r="J375" s="2">
        <v>76.599100000000007</v>
      </c>
      <c r="K375" s="2">
        <v>45.206499999999998</v>
      </c>
      <c r="L375" s="2">
        <v>9.7993000000000006</v>
      </c>
      <c r="M375" s="20" t="str">
        <f t="shared" si="20"/>
        <v>-49.18</v>
      </c>
      <c r="N375" s="21">
        <f t="shared" si="21"/>
        <v>1.9670999999999998</v>
      </c>
      <c r="O375" s="21">
        <f t="shared" si="22"/>
        <v>35.407199999999996</v>
      </c>
      <c r="P375" s="21">
        <f t="shared" si="23"/>
        <v>31.392600000000009</v>
      </c>
    </row>
    <row r="376" spans="1:16" ht="15" customHeight="1" x14ac:dyDescent="0.3">
      <c r="A376" s="7" t="s">
        <v>371</v>
      </c>
      <c r="B376" s="7" t="s">
        <v>570</v>
      </c>
      <c r="C376" s="3" t="s">
        <v>741</v>
      </c>
      <c r="D376" s="8" t="s">
        <v>1</v>
      </c>
      <c r="E376" s="8" t="s">
        <v>41</v>
      </c>
      <c r="F376" s="6">
        <v>56</v>
      </c>
      <c r="G376" s="2">
        <v>3.4256000000000002</v>
      </c>
      <c r="H376" s="2">
        <v>0.1051</v>
      </c>
      <c r="I376" s="2">
        <v>0</v>
      </c>
      <c r="J376" s="2">
        <v>52.9163</v>
      </c>
      <c r="K376" s="2">
        <v>1.5987</v>
      </c>
      <c r="L376" s="2">
        <v>0</v>
      </c>
      <c r="M376" s="20" t="str">
        <f t="shared" si="20"/>
        <v>-96.93</v>
      </c>
      <c r="N376" s="21">
        <f t="shared" si="21"/>
        <v>3.3205</v>
      </c>
      <c r="O376" s="21">
        <f t="shared" si="22"/>
        <v>1.5987</v>
      </c>
      <c r="P376" s="21">
        <f t="shared" si="23"/>
        <v>51.317599999999999</v>
      </c>
    </row>
    <row r="377" spans="1:16" ht="15" customHeight="1" x14ac:dyDescent="0.3">
      <c r="A377" s="7" t="s">
        <v>372</v>
      </c>
      <c r="B377" s="7" t="s">
        <v>570</v>
      </c>
      <c r="C377" s="3" t="s">
        <v>741</v>
      </c>
      <c r="D377" s="8" t="s">
        <v>1</v>
      </c>
      <c r="E377" s="8" t="s">
        <v>41</v>
      </c>
      <c r="F377" s="6">
        <v>56</v>
      </c>
      <c r="G377" s="2">
        <v>2.7799999999999998E-2</v>
      </c>
      <c r="H377" s="2">
        <v>0</v>
      </c>
      <c r="I377" s="2">
        <v>0</v>
      </c>
      <c r="J377" s="2">
        <v>0.59</v>
      </c>
      <c r="K377" s="2">
        <v>0</v>
      </c>
      <c r="L377" s="2">
        <v>0</v>
      </c>
      <c r="M377" s="20" t="str">
        <f t="shared" si="20"/>
        <v>0.00</v>
      </c>
      <c r="N377" s="21">
        <f t="shared" si="21"/>
        <v>2.7799999999999998E-2</v>
      </c>
      <c r="O377" s="21">
        <f t="shared" si="22"/>
        <v>0</v>
      </c>
      <c r="P377" s="21">
        <f t="shared" si="23"/>
        <v>0.59</v>
      </c>
    </row>
    <row r="378" spans="1:16" ht="15" customHeight="1" x14ac:dyDescent="0.3">
      <c r="A378" s="7" t="s">
        <v>373</v>
      </c>
      <c r="B378" s="7" t="s">
        <v>570</v>
      </c>
      <c r="C378" s="3" t="s">
        <v>741</v>
      </c>
      <c r="D378" s="8" t="s">
        <v>1</v>
      </c>
      <c r="E378" s="8" t="s">
        <v>41</v>
      </c>
      <c r="F378" s="6">
        <v>56</v>
      </c>
      <c r="G378" s="2">
        <v>2.0205000000000002</v>
      </c>
      <c r="H378" s="2">
        <v>6.1100000000000002E-2</v>
      </c>
      <c r="I378" s="2">
        <v>4.3E-3</v>
      </c>
      <c r="J378" s="2">
        <v>30.746600000000001</v>
      </c>
      <c r="K378" s="2">
        <v>0.89600000000000002</v>
      </c>
      <c r="L378" s="2">
        <v>5.6000000000000001E-2</v>
      </c>
      <c r="M378" s="20" t="str">
        <f t="shared" si="20"/>
        <v>-96.98</v>
      </c>
      <c r="N378" s="21">
        <f t="shared" si="21"/>
        <v>1.9594000000000003</v>
      </c>
      <c r="O378" s="21">
        <f t="shared" si="22"/>
        <v>0.84</v>
      </c>
      <c r="P378" s="21">
        <f t="shared" si="23"/>
        <v>29.8506</v>
      </c>
    </row>
    <row r="379" spans="1:16" ht="15" customHeight="1" x14ac:dyDescent="0.3">
      <c r="A379" s="7" t="s">
        <v>374</v>
      </c>
      <c r="B379" s="7" t="s">
        <v>570</v>
      </c>
      <c r="C379" s="3" t="s">
        <v>741</v>
      </c>
      <c r="D379" s="8" t="s">
        <v>1</v>
      </c>
      <c r="E379" s="8" t="s">
        <v>41</v>
      </c>
      <c r="F379" s="6">
        <v>56</v>
      </c>
      <c r="G379" s="2">
        <v>2.1128999999999998</v>
      </c>
      <c r="H379" s="2">
        <v>3.0200000000000001E-2</v>
      </c>
      <c r="I379" s="2">
        <v>0</v>
      </c>
      <c r="J379" s="2">
        <v>32.116500000000002</v>
      </c>
      <c r="K379" s="2">
        <v>0.44800000000000001</v>
      </c>
      <c r="L379" s="2">
        <v>0</v>
      </c>
      <c r="M379" s="20" t="str">
        <f t="shared" si="20"/>
        <v>-98.57</v>
      </c>
      <c r="N379" s="21">
        <f t="shared" si="21"/>
        <v>2.0827</v>
      </c>
      <c r="O379" s="21">
        <f t="shared" si="22"/>
        <v>0.44800000000000001</v>
      </c>
      <c r="P379" s="21">
        <f t="shared" si="23"/>
        <v>31.668500000000002</v>
      </c>
    </row>
    <row r="380" spans="1:16" ht="15" customHeight="1" x14ac:dyDescent="0.3">
      <c r="A380" s="7" t="s">
        <v>375</v>
      </c>
      <c r="B380" s="7" t="s">
        <v>570</v>
      </c>
      <c r="C380" s="3" t="s">
        <v>741</v>
      </c>
      <c r="D380" s="8" t="s">
        <v>1</v>
      </c>
      <c r="E380" s="8" t="s">
        <v>41</v>
      </c>
      <c r="F380" s="6">
        <v>56</v>
      </c>
      <c r="G380" s="2">
        <v>0.03</v>
      </c>
      <c r="H380" s="2">
        <v>5.8999999999999999E-3</v>
      </c>
      <c r="I380" s="2">
        <v>0</v>
      </c>
      <c r="J380" s="2">
        <v>0.67200000000000004</v>
      </c>
      <c r="K380" s="2">
        <v>0.16800000000000001</v>
      </c>
      <c r="L380" s="2">
        <v>0</v>
      </c>
      <c r="M380" s="20" t="str">
        <f t="shared" si="20"/>
        <v>-80.33</v>
      </c>
      <c r="N380" s="21">
        <f t="shared" si="21"/>
        <v>2.41E-2</v>
      </c>
      <c r="O380" s="21">
        <f t="shared" si="22"/>
        <v>0.16800000000000001</v>
      </c>
      <c r="P380" s="21">
        <f t="shared" si="23"/>
        <v>0.504</v>
      </c>
    </row>
    <row r="381" spans="1:16" ht="15" customHeight="1" x14ac:dyDescent="0.3">
      <c r="A381" s="7" t="s">
        <v>376</v>
      </c>
      <c r="B381" s="7" t="s">
        <v>570</v>
      </c>
      <c r="C381" s="3" t="s">
        <v>741</v>
      </c>
      <c r="D381" s="8" t="s">
        <v>1</v>
      </c>
      <c r="E381" s="8" t="s">
        <v>41</v>
      </c>
      <c r="F381" s="6">
        <v>56</v>
      </c>
      <c r="G381" s="2">
        <v>3.5200000000000002E-2</v>
      </c>
      <c r="H381" s="2">
        <v>0</v>
      </c>
      <c r="I381" s="2">
        <v>0</v>
      </c>
      <c r="J381" s="2">
        <v>0.65949999999999998</v>
      </c>
      <c r="K381" s="2">
        <v>0</v>
      </c>
      <c r="L381" s="2">
        <v>0</v>
      </c>
      <c r="M381" s="20" t="str">
        <f t="shared" si="20"/>
        <v>0.00</v>
      </c>
      <c r="N381" s="21">
        <f t="shared" si="21"/>
        <v>3.5200000000000002E-2</v>
      </c>
      <c r="O381" s="21">
        <f t="shared" si="22"/>
        <v>0</v>
      </c>
      <c r="P381" s="21">
        <f t="shared" si="23"/>
        <v>0.65949999999999998</v>
      </c>
    </row>
    <row r="382" spans="1:16" ht="15" customHeight="1" x14ac:dyDescent="0.3">
      <c r="A382" s="7" t="s">
        <v>377</v>
      </c>
      <c r="B382" s="7" t="s">
        <v>570</v>
      </c>
      <c r="C382" s="3" t="s">
        <v>741</v>
      </c>
      <c r="D382" s="8" t="s">
        <v>1</v>
      </c>
      <c r="E382" s="8" t="s">
        <v>41</v>
      </c>
      <c r="F382" s="6">
        <v>56</v>
      </c>
      <c r="G382" s="2">
        <v>0.17460000000000001</v>
      </c>
      <c r="H382" s="2">
        <v>5.2699999999999997E-2</v>
      </c>
      <c r="I382" s="2">
        <v>1.09E-2</v>
      </c>
      <c r="J382" s="2">
        <v>3.8159000000000001</v>
      </c>
      <c r="K382" s="2">
        <v>1.4</v>
      </c>
      <c r="L382" s="2">
        <v>0.28000000000000003</v>
      </c>
      <c r="M382" s="20" t="str">
        <f t="shared" si="20"/>
        <v>-69.82</v>
      </c>
      <c r="N382" s="21">
        <f t="shared" si="21"/>
        <v>0.12190000000000001</v>
      </c>
      <c r="O382" s="21">
        <f t="shared" si="22"/>
        <v>1.1199999999999999</v>
      </c>
      <c r="P382" s="21">
        <f t="shared" si="23"/>
        <v>2.4159000000000002</v>
      </c>
    </row>
    <row r="383" spans="1:16" ht="15" customHeight="1" x14ac:dyDescent="0.3">
      <c r="A383" s="7" t="s">
        <v>378</v>
      </c>
      <c r="B383" s="7" t="s">
        <v>570</v>
      </c>
      <c r="C383" s="3" t="s">
        <v>741</v>
      </c>
      <c r="D383" s="8" t="s">
        <v>1</v>
      </c>
      <c r="E383" s="8" t="s">
        <v>41</v>
      </c>
      <c r="F383" s="6">
        <v>56</v>
      </c>
      <c r="G383" s="2">
        <v>1.0412999999999999</v>
      </c>
      <c r="H383" s="2">
        <v>0</v>
      </c>
      <c r="I383" s="2">
        <v>0</v>
      </c>
      <c r="J383" s="2">
        <v>23.5031</v>
      </c>
      <c r="K383" s="2">
        <v>0</v>
      </c>
      <c r="L383" s="2">
        <v>0</v>
      </c>
      <c r="M383" s="20" t="str">
        <f t="shared" si="20"/>
        <v>0.00</v>
      </c>
      <c r="N383" s="21">
        <f t="shared" si="21"/>
        <v>1.0412999999999999</v>
      </c>
      <c r="O383" s="21">
        <f t="shared" si="22"/>
        <v>0</v>
      </c>
      <c r="P383" s="21">
        <f t="shared" si="23"/>
        <v>23.5031</v>
      </c>
    </row>
    <row r="384" spans="1:16" ht="15" customHeight="1" x14ac:dyDescent="0.3">
      <c r="A384" s="7" t="s">
        <v>379</v>
      </c>
      <c r="B384" s="7" t="s">
        <v>570</v>
      </c>
      <c r="C384" s="3" t="s">
        <v>741</v>
      </c>
      <c r="D384" s="8" t="s">
        <v>1</v>
      </c>
      <c r="E384" s="8" t="s">
        <v>41</v>
      </c>
      <c r="F384" s="6">
        <v>56</v>
      </c>
      <c r="G384" s="2">
        <v>3.8100000000000002E-2</v>
      </c>
      <c r="H384" s="2">
        <v>7.4000000000000003E-3</v>
      </c>
      <c r="I384" s="2">
        <v>1.11E-2</v>
      </c>
      <c r="J384" s="2">
        <v>0.67200000000000004</v>
      </c>
      <c r="K384" s="2">
        <v>0.112</v>
      </c>
      <c r="L384" s="2">
        <v>0.16800000000000001</v>
      </c>
      <c r="M384" s="20" t="str">
        <f t="shared" si="20"/>
        <v>-80.58</v>
      </c>
      <c r="N384" s="21">
        <f t="shared" si="21"/>
        <v>3.0700000000000002E-2</v>
      </c>
      <c r="O384" s="21">
        <f t="shared" si="22"/>
        <v>-5.6000000000000008E-2</v>
      </c>
      <c r="P384" s="21">
        <f t="shared" si="23"/>
        <v>0.56000000000000005</v>
      </c>
    </row>
    <row r="385" spans="1:16" ht="15" customHeight="1" x14ac:dyDescent="0.3">
      <c r="A385" s="7" t="s">
        <v>380</v>
      </c>
      <c r="B385" s="7" t="s">
        <v>570</v>
      </c>
      <c r="C385" s="3" t="s">
        <v>741</v>
      </c>
      <c r="D385" s="8" t="s">
        <v>1</v>
      </c>
      <c r="E385" s="8" t="s">
        <v>41</v>
      </c>
      <c r="F385" s="6">
        <v>56</v>
      </c>
      <c r="G385" s="2">
        <v>1.0855999999999999</v>
      </c>
      <c r="H385" s="2">
        <v>0.58120000000000005</v>
      </c>
      <c r="I385" s="2">
        <v>0</v>
      </c>
      <c r="J385" s="2">
        <v>19.170200000000001</v>
      </c>
      <c r="K385" s="2">
        <v>10.2963</v>
      </c>
      <c r="L385" s="2">
        <v>0</v>
      </c>
      <c r="M385" s="20" t="str">
        <f t="shared" si="20"/>
        <v>-46.46</v>
      </c>
      <c r="N385" s="21">
        <f t="shared" si="21"/>
        <v>0.50439999999999985</v>
      </c>
      <c r="O385" s="21">
        <f t="shared" si="22"/>
        <v>10.2963</v>
      </c>
      <c r="P385" s="21">
        <f t="shared" si="23"/>
        <v>8.8739000000000008</v>
      </c>
    </row>
    <row r="386" spans="1:16" ht="15" customHeight="1" x14ac:dyDescent="0.3">
      <c r="A386" s="7" t="s">
        <v>381</v>
      </c>
      <c r="B386" s="7" t="s">
        <v>570</v>
      </c>
      <c r="C386" s="3" t="s">
        <v>741</v>
      </c>
      <c r="D386" s="8" t="s">
        <v>1</v>
      </c>
      <c r="E386" s="8" t="s">
        <v>41</v>
      </c>
      <c r="F386" s="6">
        <v>56</v>
      </c>
      <c r="G386" s="2">
        <v>0.72109999999999996</v>
      </c>
      <c r="H386" s="2">
        <v>5.3105000000000002</v>
      </c>
      <c r="I386" s="2">
        <v>0</v>
      </c>
      <c r="J386" s="2">
        <v>13.8162</v>
      </c>
      <c r="K386" s="2">
        <v>130.43450000000001</v>
      </c>
      <c r="L386" s="2">
        <v>0</v>
      </c>
      <c r="M386" s="20" t="str">
        <f t="shared" si="20"/>
        <v>636.44</v>
      </c>
      <c r="N386" s="21">
        <f t="shared" si="21"/>
        <v>-4.5894000000000004</v>
      </c>
      <c r="O386" s="21">
        <f t="shared" si="22"/>
        <v>130.43450000000001</v>
      </c>
      <c r="P386" s="21">
        <f t="shared" si="23"/>
        <v>-116.61830000000002</v>
      </c>
    </row>
    <row r="387" spans="1:16" ht="15" customHeight="1" x14ac:dyDescent="0.3">
      <c r="A387" s="7" t="s">
        <v>382</v>
      </c>
      <c r="B387" s="7" t="s">
        <v>570</v>
      </c>
      <c r="C387" s="3" t="s">
        <v>741</v>
      </c>
      <c r="D387" s="8" t="s">
        <v>1</v>
      </c>
      <c r="E387" s="8" t="s">
        <v>41</v>
      </c>
      <c r="F387" s="6">
        <v>56</v>
      </c>
      <c r="G387" s="2">
        <v>0.80620000000000003</v>
      </c>
      <c r="H387" s="2">
        <v>0</v>
      </c>
      <c r="I387" s="2">
        <v>0</v>
      </c>
      <c r="J387" s="2">
        <v>18.060500000000001</v>
      </c>
      <c r="K387" s="2">
        <v>0</v>
      </c>
      <c r="L387" s="2">
        <v>0</v>
      </c>
      <c r="M387" s="20" t="str">
        <f t="shared" ref="M387:M450" si="24">IF(OR(G387=0, H387=0), "0.00", TEXT((H387-G387)/G387*100, "0.00"))</f>
        <v>0.00</v>
      </c>
      <c r="N387" s="21">
        <f t="shared" ref="N387:N450" si="25">G387-H387</f>
        <v>0.80620000000000003</v>
      </c>
      <c r="O387" s="21">
        <f t="shared" ref="O387:O450" si="26">K387-L387</f>
        <v>0</v>
      </c>
      <c r="P387" s="21">
        <f t="shared" ref="P387:P450" si="27">J387-K387</f>
        <v>18.060500000000001</v>
      </c>
    </row>
    <row r="388" spans="1:16" ht="15" customHeight="1" x14ac:dyDescent="0.3">
      <c r="A388" s="7" t="s">
        <v>383</v>
      </c>
      <c r="B388" s="7" t="s">
        <v>570</v>
      </c>
      <c r="C388" s="3" t="s">
        <v>741</v>
      </c>
      <c r="D388" s="8" t="s">
        <v>1</v>
      </c>
      <c r="E388" s="8" t="s">
        <v>12</v>
      </c>
      <c r="F388" s="6">
        <v>64</v>
      </c>
      <c r="G388" s="2">
        <v>15.5359</v>
      </c>
      <c r="H388" s="2">
        <v>0.67789999999999995</v>
      </c>
      <c r="I388" s="2">
        <v>0</v>
      </c>
      <c r="J388" s="2">
        <v>345.3125</v>
      </c>
      <c r="K388" s="2">
        <v>13.0631</v>
      </c>
      <c r="L388" s="2">
        <v>0</v>
      </c>
      <c r="M388" s="20" t="str">
        <f t="shared" si="24"/>
        <v>-95.64</v>
      </c>
      <c r="N388" s="21">
        <f t="shared" si="25"/>
        <v>14.858000000000001</v>
      </c>
      <c r="O388" s="21">
        <f t="shared" si="26"/>
        <v>13.0631</v>
      </c>
      <c r="P388" s="21">
        <f t="shared" si="27"/>
        <v>332.24939999999998</v>
      </c>
    </row>
    <row r="389" spans="1:16" ht="15" customHeight="1" x14ac:dyDescent="0.3">
      <c r="A389" s="7" t="s">
        <v>384</v>
      </c>
      <c r="B389" s="7" t="s">
        <v>570</v>
      </c>
      <c r="C389" s="3" t="s">
        <v>741</v>
      </c>
      <c r="D389" s="8" t="s">
        <v>1</v>
      </c>
      <c r="E389" s="8" t="s">
        <v>2</v>
      </c>
      <c r="F389" s="6">
        <v>64</v>
      </c>
      <c r="G389" s="2">
        <v>0.33579999999999999</v>
      </c>
      <c r="H389" s="2">
        <v>0</v>
      </c>
      <c r="I389" s="2">
        <v>0</v>
      </c>
      <c r="J389" s="2">
        <v>9.1472999999999995</v>
      </c>
      <c r="K389" s="2">
        <v>0</v>
      </c>
      <c r="L389" s="2">
        <v>0</v>
      </c>
      <c r="M389" s="20" t="str">
        <f t="shared" si="24"/>
        <v>0.00</v>
      </c>
      <c r="N389" s="21">
        <f t="shared" si="25"/>
        <v>0.33579999999999999</v>
      </c>
      <c r="O389" s="21">
        <f t="shared" si="26"/>
        <v>0</v>
      </c>
      <c r="P389" s="21">
        <f t="shared" si="27"/>
        <v>9.1472999999999995</v>
      </c>
    </row>
    <row r="390" spans="1:16" ht="15" customHeight="1" x14ac:dyDescent="0.3">
      <c r="A390" s="7" t="s">
        <v>385</v>
      </c>
      <c r="B390" s="7" t="s">
        <v>570</v>
      </c>
      <c r="C390" s="3" t="s">
        <v>741</v>
      </c>
      <c r="D390" s="8" t="s">
        <v>1</v>
      </c>
      <c r="E390" s="8" t="s">
        <v>2</v>
      </c>
      <c r="F390" s="6">
        <v>64</v>
      </c>
      <c r="G390" s="2">
        <v>27.901900000000001</v>
      </c>
      <c r="H390" s="2">
        <v>8.1903000000000006</v>
      </c>
      <c r="I390" s="2">
        <v>0.88470000000000004</v>
      </c>
      <c r="J390" s="2">
        <v>618.1096</v>
      </c>
      <c r="K390" s="2">
        <v>185.2071</v>
      </c>
      <c r="L390" s="2">
        <v>18.353999999999999</v>
      </c>
      <c r="M390" s="20" t="str">
        <f t="shared" si="24"/>
        <v>-70.65</v>
      </c>
      <c r="N390" s="21">
        <f t="shared" si="25"/>
        <v>19.711600000000001</v>
      </c>
      <c r="O390" s="21">
        <f t="shared" si="26"/>
        <v>166.85309999999998</v>
      </c>
      <c r="P390" s="21">
        <f t="shared" si="27"/>
        <v>432.90250000000003</v>
      </c>
    </row>
    <row r="391" spans="1:16" ht="15" customHeight="1" x14ac:dyDescent="0.3">
      <c r="A391" s="7" t="s">
        <v>386</v>
      </c>
      <c r="B391" s="7" t="s">
        <v>570</v>
      </c>
      <c r="C391" s="3" t="s">
        <v>741</v>
      </c>
      <c r="D391" s="8" t="s">
        <v>1</v>
      </c>
      <c r="E391" s="8" t="s">
        <v>2</v>
      </c>
      <c r="F391" s="6">
        <v>64</v>
      </c>
      <c r="G391" s="2">
        <v>2.58E-2</v>
      </c>
      <c r="H391" s="2">
        <v>7.9000000000000008E-3</v>
      </c>
      <c r="I391" s="2">
        <v>0</v>
      </c>
      <c r="J391" s="2">
        <v>0.57599999999999996</v>
      </c>
      <c r="K391" s="2">
        <v>0.38400000000000001</v>
      </c>
      <c r="L391" s="2">
        <v>0</v>
      </c>
      <c r="M391" s="20" t="str">
        <f t="shared" si="24"/>
        <v>-69.38</v>
      </c>
      <c r="N391" s="21">
        <f t="shared" si="25"/>
        <v>1.7899999999999999E-2</v>
      </c>
      <c r="O391" s="21">
        <f t="shared" si="26"/>
        <v>0.38400000000000001</v>
      </c>
      <c r="P391" s="21">
        <f t="shared" si="27"/>
        <v>0.19199999999999995</v>
      </c>
    </row>
    <row r="392" spans="1:16" ht="15" customHeight="1" x14ac:dyDescent="0.3">
      <c r="A392" s="7" t="s">
        <v>387</v>
      </c>
      <c r="B392" s="7" t="s">
        <v>570</v>
      </c>
      <c r="C392" s="3" t="s">
        <v>741</v>
      </c>
      <c r="D392" s="8" t="s">
        <v>1</v>
      </c>
      <c r="E392" s="8" t="s">
        <v>2</v>
      </c>
      <c r="F392" s="6">
        <v>64</v>
      </c>
      <c r="G392" s="2">
        <v>0.55289999999999995</v>
      </c>
      <c r="H392" s="2">
        <v>0.47820000000000001</v>
      </c>
      <c r="I392" s="2">
        <v>8.14E-2</v>
      </c>
      <c r="J392" s="2">
        <v>17.2395</v>
      </c>
      <c r="K392" s="2">
        <v>16.416799999999999</v>
      </c>
      <c r="L392" s="2">
        <v>2.5183</v>
      </c>
      <c r="M392" s="20" t="str">
        <f t="shared" si="24"/>
        <v>-13.51</v>
      </c>
      <c r="N392" s="21">
        <f t="shared" si="25"/>
        <v>7.4699999999999933E-2</v>
      </c>
      <c r="O392" s="21">
        <f t="shared" si="26"/>
        <v>13.898499999999999</v>
      </c>
      <c r="P392" s="21">
        <f t="shared" si="27"/>
        <v>0.8227000000000011</v>
      </c>
    </row>
    <row r="393" spans="1:16" ht="15" customHeight="1" x14ac:dyDescent="0.3">
      <c r="A393" s="7" t="s">
        <v>388</v>
      </c>
      <c r="B393" s="7" t="s">
        <v>570</v>
      </c>
      <c r="C393" s="3" t="s">
        <v>741</v>
      </c>
      <c r="D393" s="8" t="s">
        <v>1</v>
      </c>
      <c r="E393" s="8" t="s">
        <v>2</v>
      </c>
      <c r="F393" s="6">
        <v>64</v>
      </c>
      <c r="G393" s="2">
        <v>3.53</v>
      </c>
      <c r="H393" s="2">
        <v>1.6247</v>
      </c>
      <c r="I393" s="2">
        <v>0</v>
      </c>
      <c r="J393" s="2">
        <v>92.468000000000004</v>
      </c>
      <c r="K393" s="2">
        <v>38.321599999999997</v>
      </c>
      <c r="L393" s="2">
        <v>0</v>
      </c>
      <c r="M393" s="20" t="str">
        <f t="shared" si="24"/>
        <v>-53.97</v>
      </c>
      <c r="N393" s="21">
        <f t="shared" si="25"/>
        <v>1.9052999999999998</v>
      </c>
      <c r="O393" s="21">
        <f t="shared" si="26"/>
        <v>38.321599999999997</v>
      </c>
      <c r="P393" s="21">
        <f t="shared" si="27"/>
        <v>54.146400000000007</v>
      </c>
    </row>
    <row r="394" spans="1:16" ht="15" customHeight="1" x14ac:dyDescent="0.3">
      <c r="A394" s="7" t="s">
        <v>389</v>
      </c>
      <c r="B394" s="7" t="s">
        <v>570</v>
      </c>
      <c r="C394" s="3" t="s">
        <v>741</v>
      </c>
      <c r="D394" s="8" t="s">
        <v>1</v>
      </c>
      <c r="E394" s="8" t="s">
        <v>12</v>
      </c>
      <c r="F394" s="6">
        <v>64</v>
      </c>
      <c r="G394" s="2">
        <v>0.42930000000000001</v>
      </c>
      <c r="H394" s="2">
        <v>0.67159999999999997</v>
      </c>
      <c r="I394" s="2">
        <v>0</v>
      </c>
      <c r="J394" s="2">
        <v>9.3439999999999994</v>
      </c>
      <c r="K394" s="2">
        <v>12.986599999999999</v>
      </c>
      <c r="L394" s="2">
        <v>0</v>
      </c>
      <c r="M394" s="20" t="str">
        <f t="shared" si="24"/>
        <v>56.44</v>
      </c>
      <c r="N394" s="21">
        <f t="shared" si="25"/>
        <v>-0.24229999999999996</v>
      </c>
      <c r="O394" s="21">
        <f t="shared" si="26"/>
        <v>12.986599999999999</v>
      </c>
      <c r="P394" s="21">
        <f t="shared" si="27"/>
        <v>-3.6425999999999998</v>
      </c>
    </row>
    <row r="395" spans="1:16" ht="15" customHeight="1" x14ac:dyDescent="0.3">
      <c r="A395" s="7" t="s">
        <v>390</v>
      </c>
      <c r="B395" s="7" t="s">
        <v>570</v>
      </c>
      <c r="C395" s="3" t="s">
        <v>741</v>
      </c>
      <c r="D395" s="8" t="s">
        <v>1</v>
      </c>
      <c r="E395" s="8" t="s">
        <v>2</v>
      </c>
      <c r="F395" s="6">
        <v>64</v>
      </c>
      <c r="G395" s="2">
        <v>0.48170000000000002</v>
      </c>
      <c r="H395" s="2">
        <v>0</v>
      </c>
      <c r="I395" s="2">
        <v>0</v>
      </c>
      <c r="J395" s="2">
        <v>13.007199999999999</v>
      </c>
      <c r="K395" s="2">
        <v>0</v>
      </c>
      <c r="L395" s="2">
        <v>0</v>
      </c>
      <c r="M395" s="20" t="str">
        <f t="shared" si="24"/>
        <v>0.00</v>
      </c>
      <c r="N395" s="21">
        <f t="shared" si="25"/>
        <v>0.48170000000000002</v>
      </c>
      <c r="O395" s="21">
        <f t="shared" si="26"/>
        <v>0</v>
      </c>
      <c r="P395" s="21">
        <f t="shared" si="27"/>
        <v>13.007199999999999</v>
      </c>
    </row>
    <row r="396" spans="1:16" ht="15" customHeight="1" x14ac:dyDescent="0.3">
      <c r="A396" s="7" t="s">
        <v>391</v>
      </c>
      <c r="B396" s="7" t="s">
        <v>570</v>
      </c>
      <c r="C396" s="3" t="s">
        <v>741</v>
      </c>
      <c r="D396" s="8" t="s">
        <v>1</v>
      </c>
      <c r="E396" s="8" t="s">
        <v>2</v>
      </c>
      <c r="F396" s="6">
        <v>64</v>
      </c>
      <c r="G396" s="2">
        <v>0</v>
      </c>
      <c r="H396" s="2">
        <v>0</v>
      </c>
      <c r="I396" s="2">
        <v>8.9800000000000005E-2</v>
      </c>
      <c r="J396" s="2">
        <v>0</v>
      </c>
      <c r="K396" s="2">
        <v>0</v>
      </c>
      <c r="L396" s="2">
        <v>1.9842</v>
      </c>
      <c r="M396" s="20" t="str">
        <f t="shared" si="24"/>
        <v>0.00</v>
      </c>
      <c r="N396" s="21">
        <f t="shared" si="25"/>
        <v>0</v>
      </c>
      <c r="O396" s="21">
        <f t="shared" si="26"/>
        <v>-1.9842</v>
      </c>
      <c r="P396" s="21">
        <f t="shared" si="27"/>
        <v>0</v>
      </c>
    </row>
    <row r="397" spans="1:16" ht="15" customHeight="1" x14ac:dyDescent="0.3">
      <c r="A397" s="7" t="s">
        <v>392</v>
      </c>
      <c r="B397" s="7" t="s">
        <v>570</v>
      </c>
      <c r="C397" s="3" t="s">
        <v>741</v>
      </c>
      <c r="D397" s="8" t="s">
        <v>1</v>
      </c>
      <c r="E397" s="8" t="s">
        <v>2</v>
      </c>
      <c r="F397" s="6">
        <v>64</v>
      </c>
      <c r="G397" s="2">
        <v>0</v>
      </c>
      <c r="H397" s="2">
        <v>0</v>
      </c>
      <c r="I397" s="2">
        <v>0.16889999999999999</v>
      </c>
      <c r="J397" s="2">
        <v>0</v>
      </c>
      <c r="K397" s="2">
        <v>0</v>
      </c>
      <c r="L397" s="2">
        <v>4.3247</v>
      </c>
      <c r="M397" s="20" t="str">
        <f t="shared" si="24"/>
        <v>0.00</v>
      </c>
      <c r="N397" s="21">
        <f t="shared" si="25"/>
        <v>0</v>
      </c>
      <c r="O397" s="21">
        <f t="shared" si="26"/>
        <v>-4.3247</v>
      </c>
      <c r="P397" s="21">
        <f t="shared" si="27"/>
        <v>0</v>
      </c>
    </row>
    <row r="398" spans="1:16" ht="15" customHeight="1" x14ac:dyDescent="0.3">
      <c r="A398" s="7" t="s">
        <v>393</v>
      </c>
      <c r="B398" s="7" t="s">
        <v>570</v>
      </c>
      <c r="C398" s="3" t="s">
        <v>741</v>
      </c>
      <c r="D398" s="8" t="s">
        <v>1</v>
      </c>
      <c r="E398" s="8" t="s">
        <v>2</v>
      </c>
      <c r="F398" s="6">
        <v>64</v>
      </c>
      <c r="G398" s="2">
        <v>4.2949000000000002</v>
      </c>
      <c r="H398" s="2">
        <v>0.33839999999999998</v>
      </c>
      <c r="I398" s="2">
        <v>0</v>
      </c>
      <c r="J398" s="2">
        <v>87.926599999999993</v>
      </c>
      <c r="K398" s="2">
        <v>6.2496999999999998</v>
      </c>
      <c r="L398" s="2">
        <v>0</v>
      </c>
      <c r="M398" s="20" t="str">
        <f t="shared" si="24"/>
        <v>-92.12</v>
      </c>
      <c r="N398" s="21">
        <f t="shared" si="25"/>
        <v>3.9565000000000001</v>
      </c>
      <c r="O398" s="21">
        <f t="shared" si="26"/>
        <v>6.2496999999999998</v>
      </c>
      <c r="P398" s="21">
        <f t="shared" si="27"/>
        <v>81.676899999999989</v>
      </c>
    </row>
    <row r="399" spans="1:16" ht="15" customHeight="1" x14ac:dyDescent="0.3">
      <c r="A399" s="7" t="s">
        <v>394</v>
      </c>
      <c r="B399" s="7" t="s">
        <v>570</v>
      </c>
      <c r="C399" s="3" t="s">
        <v>741</v>
      </c>
      <c r="D399" s="8" t="s">
        <v>1</v>
      </c>
      <c r="E399" s="8" t="s">
        <v>2</v>
      </c>
      <c r="F399" s="6">
        <v>64</v>
      </c>
      <c r="G399" s="2">
        <v>13.5303</v>
      </c>
      <c r="H399" s="2">
        <v>2.3972000000000002</v>
      </c>
      <c r="I399" s="2">
        <v>0.73670000000000002</v>
      </c>
      <c r="J399" s="2">
        <v>272.4522</v>
      </c>
      <c r="K399" s="2">
        <v>43.2258</v>
      </c>
      <c r="L399" s="2">
        <v>13.669700000000001</v>
      </c>
      <c r="M399" s="20" t="str">
        <f t="shared" si="24"/>
        <v>-82.28</v>
      </c>
      <c r="N399" s="21">
        <f t="shared" si="25"/>
        <v>11.133100000000001</v>
      </c>
      <c r="O399" s="21">
        <f t="shared" si="26"/>
        <v>29.556100000000001</v>
      </c>
      <c r="P399" s="21">
        <f t="shared" si="27"/>
        <v>229.22640000000001</v>
      </c>
    </row>
    <row r="400" spans="1:16" ht="15" customHeight="1" x14ac:dyDescent="0.3">
      <c r="A400" s="7" t="s">
        <v>395</v>
      </c>
      <c r="B400" s="7" t="s">
        <v>570</v>
      </c>
      <c r="C400" s="3" t="s">
        <v>741</v>
      </c>
      <c r="D400" s="8" t="s">
        <v>1</v>
      </c>
      <c r="E400" s="8" t="s">
        <v>2</v>
      </c>
      <c r="F400" s="6">
        <v>64</v>
      </c>
      <c r="G400" s="2">
        <v>8.9724000000000004</v>
      </c>
      <c r="H400" s="2">
        <v>2.3250000000000002</v>
      </c>
      <c r="I400" s="2">
        <v>9.6000000000000002E-2</v>
      </c>
      <c r="J400" s="2">
        <v>202.00700000000001</v>
      </c>
      <c r="K400" s="2">
        <v>55.267699999999998</v>
      </c>
      <c r="L400" s="2">
        <v>2.0488</v>
      </c>
      <c r="M400" s="20" t="str">
        <f t="shared" si="24"/>
        <v>-74.09</v>
      </c>
      <c r="N400" s="21">
        <f t="shared" si="25"/>
        <v>6.6474000000000002</v>
      </c>
      <c r="O400" s="21">
        <f t="shared" si="26"/>
        <v>53.218899999999998</v>
      </c>
      <c r="P400" s="21">
        <f t="shared" si="27"/>
        <v>146.73930000000001</v>
      </c>
    </row>
    <row r="401" spans="1:16" ht="15" customHeight="1" x14ac:dyDescent="0.3">
      <c r="A401" s="7" t="s">
        <v>396</v>
      </c>
      <c r="B401" s="7" t="s">
        <v>570</v>
      </c>
      <c r="C401" s="3" t="s">
        <v>741</v>
      </c>
      <c r="D401" s="8" t="s">
        <v>1</v>
      </c>
      <c r="E401" s="8" t="s">
        <v>2</v>
      </c>
      <c r="F401" s="6">
        <v>64</v>
      </c>
      <c r="G401" s="2">
        <v>0.24310000000000001</v>
      </c>
      <c r="H401" s="2">
        <v>0.1048</v>
      </c>
      <c r="I401" s="2">
        <v>0</v>
      </c>
      <c r="J401" s="2">
        <v>5.5039999999999996</v>
      </c>
      <c r="K401" s="2">
        <v>2.3589000000000002</v>
      </c>
      <c r="L401" s="2">
        <v>0</v>
      </c>
      <c r="M401" s="20" t="str">
        <f t="shared" si="24"/>
        <v>-56.89</v>
      </c>
      <c r="N401" s="21">
        <f t="shared" si="25"/>
        <v>0.13830000000000001</v>
      </c>
      <c r="O401" s="21">
        <f t="shared" si="26"/>
        <v>2.3589000000000002</v>
      </c>
      <c r="P401" s="21">
        <f t="shared" si="27"/>
        <v>3.1450999999999993</v>
      </c>
    </row>
    <row r="402" spans="1:16" ht="15" customHeight="1" x14ac:dyDescent="0.3">
      <c r="A402" s="7" t="s">
        <v>397</v>
      </c>
      <c r="B402" s="7" t="s">
        <v>570</v>
      </c>
      <c r="C402" s="3" t="s">
        <v>741</v>
      </c>
      <c r="D402" s="8" t="s">
        <v>1</v>
      </c>
      <c r="E402" s="8" t="s">
        <v>12</v>
      </c>
      <c r="F402" s="6">
        <v>80</v>
      </c>
      <c r="G402" s="2">
        <v>299.24509999999998</v>
      </c>
      <c r="H402" s="2">
        <v>239.40260000000001</v>
      </c>
      <c r="I402" s="2">
        <v>70.132900000000006</v>
      </c>
      <c r="J402" s="2">
        <v>8505.4575000000004</v>
      </c>
      <c r="K402" s="2">
        <v>6543.0663999999997</v>
      </c>
      <c r="L402" s="2">
        <v>1626.3281999999999</v>
      </c>
      <c r="M402" s="20" t="str">
        <f t="shared" si="24"/>
        <v>-20.00</v>
      </c>
      <c r="N402" s="21">
        <f t="shared" si="25"/>
        <v>59.842499999999973</v>
      </c>
      <c r="O402" s="21">
        <f t="shared" si="26"/>
        <v>4916.7381999999998</v>
      </c>
      <c r="P402" s="21">
        <f t="shared" si="27"/>
        <v>1962.3911000000007</v>
      </c>
    </row>
    <row r="403" spans="1:16" ht="15" customHeight="1" x14ac:dyDescent="0.3">
      <c r="A403" s="7" t="s">
        <v>398</v>
      </c>
      <c r="B403" s="7" t="s">
        <v>570</v>
      </c>
      <c r="C403" s="3" t="s">
        <v>741</v>
      </c>
      <c r="D403" s="8" t="s">
        <v>1</v>
      </c>
      <c r="E403" s="8" t="s">
        <v>41</v>
      </c>
      <c r="F403" s="6">
        <v>80</v>
      </c>
      <c r="G403" s="2">
        <v>228.9504</v>
      </c>
      <c r="H403" s="2">
        <v>220.107</v>
      </c>
      <c r="I403" s="2">
        <v>99.616699999999994</v>
      </c>
      <c r="J403" s="2">
        <v>6068.1558999999997</v>
      </c>
      <c r="K403" s="2">
        <v>5788.4287000000004</v>
      </c>
      <c r="L403" s="2">
        <v>2377.8838000000001</v>
      </c>
      <c r="M403" s="20" t="str">
        <f t="shared" si="24"/>
        <v>-3.86</v>
      </c>
      <c r="N403" s="21">
        <f t="shared" si="25"/>
        <v>8.8434000000000026</v>
      </c>
      <c r="O403" s="21">
        <f t="shared" si="26"/>
        <v>3410.5449000000003</v>
      </c>
      <c r="P403" s="21">
        <f t="shared" si="27"/>
        <v>279.72719999999936</v>
      </c>
    </row>
    <row r="404" spans="1:16" ht="15" customHeight="1" x14ac:dyDescent="0.3">
      <c r="A404" s="7" t="s">
        <v>399</v>
      </c>
      <c r="B404" s="7" t="s">
        <v>570</v>
      </c>
      <c r="C404" s="3" t="s">
        <v>741</v>
      </c>
      <c r="D404" s="8" t="s">
        <v>1</v>
      </c>
      <c r="E404" s="8" t="s">
        <v>12</v>
      </c>
      <c r="F404" s="6">
        <v>42</v>
      </c>
      <c r="G404" s="2">
        <v>0</v>
      </c>
      <c r="H404" s="2">
        <v>0</v>
      </c>
      <c r="I404" s="2">
        <v>4.2099999999999999E-2</v>
      </c>
      <c r="J404" s="2">
        <v>0</v>
      </c>
      <c r="K404" s="2">
        <v>0</v>
      </c>
      <c r="L404" s="2">
        <v>0.45</v>
      </c>
      <c r="M404" s="20" t="str">
        <f t="shared" si="24"/>
        <v>0.00</v>
      </c>
      <c r="N404" s="21">
        <f t="shared" si="25"/>
        <v>0</v>
      </c>
      <c r="O404" s="21">
        <f t="shared" si="26"/>
        <v>-0.45</v>
      </c>
      <c r="P404" s="21">
        <f t="shared" si="27"/>
        <v>0</v>
      </c>
    </row>
    <row r="405" spans="1:16" ht="15" customHeight="1" x14ac:dyDescent="0.3">
      <c r="A405" s="7" t="s">
        <v>400</v>
      </c>
      <c r="B405" s="7" t="s">
        <v>570</v>
      </c>
      <c r="C405" s="3" t="s">
        <v>741</v>
      </c>
      <c r="D405" s="8" t="s">
        <v>1</v>
      </c>
      <c r="E405" s="8" t="s">
        <v>12</v>
      </c>
      <c r="F405" s="6">
        <v>42</v>
      </c>
      <c r="G405" s="2">
        <v>0</v>
      </c>
      <c r="H405" s="2">
        <v>0</v>
      </c>
      <c r="I405" s="2">
        <v>0.3543</v>
      </c>
      <c r="J405" s="2">
        <v>0</v>
      </c>
      <c r="K405" s="2">
        <v>0</v>
      </c>
      <c r="L405" s="2">
        <v>4.1279000000000003</v>
      </c>
      <c r="M405" s="20" t="str">
        <f t="shared" si="24"/>
        <v>0.00</v>
      </c>
      <c r="N405" s="21">
        <f t="shared" si="25"/>
        <v>0</v>
      </c>
      <c r="O405" s="21">
        <f t="shared" si="26"/>
        <v>-4.1279000000000003</v>
      </c>
      <c r="P405" s="21">
        <f t="shared" si="27"/>
        <v>0</v>
      </c>
    </row>
    <row r="406" spans="1:16" ht="15" customHeight="1" x14ac:dyDescent="0.3">
      <c r="A406" s="7" t="s">
        <v>401</v>
      </c>
      <c r="B406" s="7" t="s">
        <v>570</v>
      </c>
      <c r="C406" s="3" t="s">
        <v>741</v>
      </c>
      <c r="D406" s="8" t="s">
        <v>1</v>
      </c>
      <c r="E406" s="8" t="s">
        <v>12</v>
      </c>
      <c r="F406" s="6">
        <v>42</v>
      </c>
      <c r="G406" s="2">
        <v>9.0039999999999996</v>
      </c>
      <c r="H406" s="2">
        <v>27.005199999999999</v>
      </c>
      <c r="I406" s="2">
        <v>7.3737000000000004</v>
      </c>
      <c r="J406" s="2">
        <v>168.55369999999999</v>
      </c>
      <c r="K406" s="2">
        <v>470.04379999999998</v>
      </c>
      <c r="L406" s="2">
        <v>117.492</v>
      </c>
      <c r="M406" s="20" t="str">
        <f t="shared" si="24"/>
        <v>199.92</v>
      </c>
      <c r="N406" s="21">
        <f t="shared" si="25"/>
        <v>-18.001199999999997</v>
      </c>
      <c r="O406" s="21">
        <f t="shared" si="26"/>
        <v>352.55179999999996</v>
      </c>
      <c r="P406" s="21">
        <f t="shared" si="27"/>
        <v>-301.49009999999998</v>
      </c>
    </row>
    <row r="407" spans="1:16" ht="15" customHeight="1" x14ac:dyDescent="0.3">
      <c r="A407" s="7" t="s">
        <v>402</v>
      </c>
      <c r="B407" s="7" t="s">
        <v>570</v>
      </c>
      <c r="C407" s="3" t="s">
        <v>741</v>
      </c>
      <c r="D407" s="8" t="s">
        <v>1</v>
      </c>
      <c r="E407" s="8" t="s">
        <v>12</v>
      </c>
      <c r="F407" s="6">
        <v>42</v>
      </c>
      <c r="G407" s="2">
        <v>9.5648</v>
      </c>
      <c r="H407" s="2">
        <v>36.633899999999997</v>
      </c>
      <c r="I407" s="2">
        <v>14.959</v>
      </c>
      <c r="J407" s="2">
        <v>136.73179999999999</v>
      </c>
      <c r="K407" s="2">
        <v>512.46489999999994</v>
      </c>
      <c r="L407" s="2">
        <v>178.05029999999999</v>
      </c>
      <c r="M407" s="20" t="str">
        <f t="shared" si="24"/>
        <v>283.01</v>
      </c>
      <c r="N407" s="21">
        <f t="shared" si="25"/>
        <v>-27.069099999999999</v>
      </c>
      <c r="O407" s="21">
        <f t="shared" si="26"/>
        <v>334.41459999999995</v>
      </c>
      <c r="P407" s="21">
        <f t="shared" si="27"/>
        <v>-375.73309999999992</v>
      </c>
    </row>
    <row r="408" spans="1:16" ht="15" customHeight="1" x14ac:dyDescent="0.3">
      <c r="A408" s="7" t="s">
        <v>403</v>
      </c>
      <c r="B408" s="7" t="s">
        <v>570</v>
      </c>
      <c r="C408" s="3" t="s">
        <v>741</v>
      </c>
      <c r="D408" s="8" t="s">
        <v>1</v>
      </c>
      <c r="E408" s="8" t="s">
        <v>2</v>
      </c>
      <c r="F408" s="6">
        <v>72</v>
      </c>
      <c r="G408" s="2">
        <v>0.18679999999999999</v>
      </c>
      <c r="H408" s="2">
        <v>0</v>
      </c>
      <c r="I408" s="2">
        <v>0</v>
      </c>
      <c r="J408" s="2">
        <v>4.4957000000000003</v>
      </c>
      <c r="K408" s="2">
        <v>0</v>
      </c>
      <c r="L408" s="2">
        <v>0</v>
      </c>
      <c r="M408" s="20" t="str">
        <f t="shared" si="24"/>
        <v>0.00</v>
      </c>
      <c r="N408" s="21">
        <f t="shared" si="25"/>
        <v>0.18679999999999999</v>
      </c>
      <c r="O408" s="21">
        <f t="shared" si="26"/>
        <v>0</v>
      </c>
      <c r="P408" s="21">
        <f t="shared" si="27"/>
        <v>4.4957000000000003</v>
      </c>
    </row>
    <row r="409" spans="1:16" ht="15" customHeight="1" x14ac:dyDescent="0.3">
      <c r="A409" s="7" t="s">
        <v>404</v>
      </c>
      <c r="B409" s="7" t="s">
        <v>570</v>
      </c>
      <c r="C409" s="3" t="s">
        <v>741</v>
      </c>
      <c r="D409" s="8" t="s">
        <v>405</v>
      </c>
      <c r="E409" s="8" t="s">
        <v>41</v>
      </c>
      <c r="F409" s="6">
        <v>56</v>
      </c>
      <c r="G409" s="2">
        <v>0.2319</v>
      </c>
      <c r="H409" s="2">
        <v>0</v>
      </c>
      <c r="I409" s="2">
        <v>0</v>
      </c>
      <c r="J409" s="2">
        <v>3.4005999999999998</v>
      </c>
      <c r="K409" s="2">
        <v>0</v>
      </c>
      <c r="L409" s="2">
        <v>0</v>
      </c>
      <c r="M409" s="20" t="str">
        <f t="shared" si="24"/>
        <v>0.00</v>
      </c>
      <c r="N409" s="21">
        <f t="shared" si="25"/>
        <v>0.2319</v>
      </c>
      <c r="O409" s="21">
        <f t="shared" si="26"/>
        <v>0</v>
      </c>
      <c r="P409" s="21">
        <f t="shared" si="27"/>
        <v>3.4005999999999998</v>
      </c>
    </row>
    <row r="410" spans="1:16" ht="15" customHeight="1" x14ac:dyDescent="0.3">
      <c r="A410" s="7" t="s">
        <v>406</v>
      </c>
      <c r="B410" s="7" t="s">
        <v>570</v>
      </c>
      <c r="C410" s="3" t="s">
        <v>691</v>
      </c>
      <c r="D410" s="8" t="s">
        <v>1</v>
      </c>
      <c r="E410" s="8" t="s">
        <v>41</v>
      </c>
      <c r="F410" s="6">
        <v>56</v>
      </c>
      <c r="G410" s="2">
        <v>0.2671</v>
      </c>
      <c r="H410" s="2">
        <v>0</v>
      </c>
      <c r="I410" s="2">
        <v>0</v>
      </c>
      <c r="J410" s="2">
        <v>5.0296000000000003</v>
      </c>
      <c r="K410" s="2">
        <v>0</v>
      </c>
      <c r="L410" s="2">
        <v>0</v>
      </c>
      <c r="M410" s="20" t="str">
        <f t="shared" si="24"/>
        <v>0.00</v>
      </c>
      <c r="N410" s="21">
        <f t="shared" si="25"/>
        <v>0.2671</v>
      </c>
      <c r="O410" s="21">
        <f t="shared" si="26"/>
        <v>0</v>
      </c>
      <c r="P410" s="21">
        <f t="shared" si="27"/>
        <v>5.0296000000000003</v>
      </c>
    </row>
    <row r="411" spans="1:16" ht="15" customHeight="1" x14ac:dyDescent="0.3">
      <c r="A411" s="7" t="s">
        <v>598</v>
      </c>
      <c r="B411" s="7" t="s">
        <v>570</v>
      </c>
      <c r="C411" s="3" t="s">
        <v>691</v>
      </c>
      <c r="D411" s="8" t="s">
        <v>1</v>
      </c>
      <c r="E411" s="8" t="s">
        <v>2</v>
      </c>
      <c r="F411" s="6">
        <v>64</v>
      </c>
      <c r="G411" s="2">
        <v>0.10589999999999999</v>
      </c>
      <c r="H411" s="2">
        <v>1.12E-2</v>
      </c>
      <c r="I411" s="2">
        <v>0</v>
      </c>
      <c r="J411" s="2">
        <v>2.2591999999999999</v>
      </c>
      <c r="K411" s="2">
        <v>0.2389</v>
      </c>
      <c r="L411" s="2">
        <v>0</v>
      </c>
      <c r="M411" s="20" t="str">
        <f t="shared" si="24"/>
        <v>-89.42</v>
      </c>
      <c r="N411" s="21">
        <f t="shared" si="25"/>
        <v>9.4699999999999993E-2</v>
      </c>
      <c r="O411" s="21">
        <f t="shared" si="26"/>
        <v>0.2389</v>
      </c>
      <c r="P411" s="21">
        <f t="shared" si="27"/>
        <v>2.0202999999999998</v>
      </c>
    </row>
    <row r="412" spans="1:16" ht="15" customHeight="1" x14ac:dyDescent="0.3">
      <c r="A412" s="7" t="s">
        <v>407</v>
      </c>
      <c r="B412" s="7" t="s">
        <v>571</v>
      </c>
      <c r="C412" s="3" t="s">
        <v>692</v>
      </c>
      <c r="D412" s="8" t="s">
        <v>1</v>
      </c>
      <c r="E412" s="8" t="s">
        <v>181</v>
      </c>
      <c r="F412" s="6">
        <v>70</v>
      </c>
      <c r="G412" s="2">
        <v>2.1598999999999999</v>
      </c>
      <c r="H412" s="2">
        <v>5.1025</v>
      </c>
      <c r="I412" s="2">
        <v>6.3079000000000001</v>
      </c>
      <c r="J412" s="2">
        <v>36.4</v>
      </c>
      <c r="K412" s="2">
        <v>77.862799999999993</v>
      </c>
      <c r="L412" s="2">
        <v>91.042100000000005</v>
      </c>
      <c r="M412" s="20" t="str">
        <f t="shared" si="24"/>
        <v>136.24</v>
      </c>
      <c r="N412" s="21">
        <f t="shared" si="25"/>
        <v>-2.9426000000000001</v>
      </c>
      <c r="O412" s="21">
        <f t="shared" si="26"/>
        <v>-13.179300000000012</v>
      </c>
      <c r="P412" s="21">
        <f t="shared" si="27"/>
        <v>-41.462799999999994</v>
      </c>
    </row>
    <row r="413" spans="1:16" ht="15" customHeight="1" x14ac:dyDescent="0.3">
      <c r="A413" s="7" t="s">
        <v>408</v>
      </c>
      <c r="B413" s="7" t="s">
        <v>571</v>
      </c>
      <c r="C413" s="3" t="s">
        <v>692</v>
      </c>
      <c r="D413" s="8" t="s">
        <v>1</v>
      </c>
      <c r="E413" s="8" t="s">
        <v>181</v>
      </c>
      <c r="F413" s="6">
        <v>70</v>
      </c>
      <c r="G413" s="2">
        <v>10.1408</v>
      </c>
      <c r="H413" s="2">
        <v>7.4416000000000002</v>
      </c>
      <c r="I413" s="2">
        <v>2.3571</v>
      </c>
      <c r="J413" s="2">
        <v>91.191500000000005</v>
      </c>
      <c r="K413" s="2">
        <v>64.807599999999994</v>
      </c>
      <c r="L413" s="2">
        <v>19.349299999999999</v>
      </c>
      <c r="M413" s="20" t="str">
        <f t="shared" si="24"/>
        <v>-26.62</v>
      </c>
      <c r="N413" s="21">
        <f t="shared" si="25"/>
        <v>2.6992000000000003</v>
      </c>
      <c r="O413" s="21">
        <f t="shared" si="26"/>
        <v>45.458299999999994</v>
      </c>
      <c r="P413" s="21">
        <f t="shared" si="27"/>
        <v>26.383900000000011</v>
      </c>
    </row>
    <row r="414" spans="1:16" ht="15" customHeight="1" x14ac:dyDescent="0.3">
      <c r="A414" s="7" t="s">
        <v>409</v>
      </c>
      <c r="B414" s="7" t="s">
        <v>572</v>
      </c>
      <c r="C414" s="3" t="s">
        <v>693</v>
      </c>
      <c r="D414" s="8" t="s">
        <v>1</v>
      </c>
      <c r="E414" s="8" t="s">
        <v>5</v>
      </c>
      <c r="F414" s="6">
        <v>80</v>
      </c>
      <c r="G414" s="2">
        <v>2.9045000000000001</v>
      </c>
      <c r="H414" s="2">
        <v>0</v>
      </c>
      <c r="I414" s="2">
        <v>0</v>
      </c>
      <c r="J414" s="2">
        <v>116.9823</v>
      </c>
      <c r="K414" s="2">
        <v>0</v>
      </c>
      <c r="L414" s="2">
        <v>0</v>
      </c>
      <c r="M414" s="20" t="str">
        <f t="shared" si="24"/>
        <v>0.00</v>
      </c>
      <c r="N414" s="21">
        <f t="shared" si="25"/>
        <v>2.9045000000000001</v>
      </c>
      <c r="O414" s="21">
        <f t="shared" si="26"/>
        <v>0</v>
      </c>
      <c r="P414" s="21">
        <f t="shared" si="27"/>
        <v>116.9823</v>
      </c>
    </row>
    <row r="415" spans="1:16" ht="15" customHeight="1" x14ac:dyDescent="0.3">
      <c r="A415" s="7" t="s">
        <v>410</v>
      </c>
      <c r="B415" s="7" t="s">
        <v>572</v>
      </c>
      <c r="C415" s="3" t="s">
        <v>693</v>
      </c>
      <c r="D415" s="8" t="s">
        <v>1</v>
      </c>
      <c r="E415" s="8" t="s">
        <v>2</v>
      </c>
      <c r="F415" s="6">
        <v>80</v>
      </c>
      <c r="G415" s="2">
        <v>2.9113000000000002</v>
      </c>
      <c r="H415" s="2">
        <v>0</v>
      </c>
      <c r="I415" s="2">
        <v>0</v>
      </c>
      <c r="J415" s="2">
        <v>119.83880000000001</v>
      </c>
      <c r="K415" s="2">
        <v>0</v>
      </c>
      <c r="L415" s="2">
        <v>0</v>
      </c>
      <c r="M415" s="20" t="str">
        <f t="shared" si="24"/>
        <v>0.00</v>
      </c>
      <c r="N415" s="21">
        <f t="shared" si="25"/>
        <v>2.9113000000000002</v>
      </c>
      <c r="O415" s="21">
        <f t="shared" si="26"/>
        <v>0</v>
      </c>
      <c r="P415" s="21">
        <f t="shared" si="27"/>
        <v>119.83880000000001</v>
      </c>
    </row>
    <row r="416" spans="1:16" ht="15" customHeight="1" x14ac:dyDescent="0.3">
      <c r="A416" s="7" t="s">
        <v>411</v>
      </c>
      <c r="B416" s="7" t="s">
        <v>572</v>
      </c>
      <c r="C416" s="3" t="s">
        <v>693</v>
      </c>
      <c r="D416" s="8" t="s">
        <v>1</v>
      </c>
      <c r="E416" s="8" t="s">
        <v>2</v>
      </c>
      <c r="F416" s="6">
        <v>80</v>
      </c>
      <c r="G416" s="2">
        <v>4.2324000000000002</v>
      </c>
      <c r="H416" s="2">
        <v>0</v>
      </c>
      <c r="I416" s="2">
        <v>0</v>
      </c>
      <c r="J416" s="2">
        <v>171.05330000000001</v>
      </c>
      <c r="K416" s="2">
        <v>0</v>
      </c>
      <c r="L416" s="2">
        <v>0</v>
      </c>
      <c r="M416" s="20" t="str">
        <f t="shared" si="24"/>
        <v>0.00</v>
      </c>
      <c r="N416" s="21">
        <f t="shared" si="25"/>
        <v>4.2324000000000002</v>
      </c>
      <c r="O416" s="21">
        <f t="shared" si="26"/>
        <v>0</v>
      </c>
      <c r="P416" s="21">
        <f t="shared" si="27"/>
        <v>171.05330000000001</v>
      </c>
    </row>
    <row r="417" spans="1:16" ht="15" customHeight="1" x14ac:dyDescent="0.3">
      <c r="A417" s="7" t="s">
        <v>412</v>
      </c>
      <c r="B417" s="7" t="s">
        <v>572</v>
      </c>
      <c r="C417" s="3" t="s">
        <v>693</v>
      </c>
      <c r="D417" s="8" t="s">
        <v>1</v>
      </c>
      <c r="E417" s="8" t="s">
        <v>5</v>
      </c>
      <c r="F417" s="6">
        <v>80</v>
      </c>
      <c r="G417" s="2">
        <v>2.6360000000000001</v>
      </c>
      <c r="H417" s="2">
        <v>0</v>
      </c>
      <c r="I417" s="2">
        <v>0</v>
      </c>
      <c r="J417" s="2">
        <v>103.9999</v>
      </c>
      <c r="K417" s="2">
        <v>0</v>
      </c>
      <c r="L417" s="2">
        <v>0</v>
      </c>
      <c r="M417" s="20" t="str">
        <f t="shared" si="24"/>
        <v>0.00</v>
      </c>
      <c r="N417" s="21">
        <f t="shared" si="25"/>
        <v>2.6360000000000001</v>
      </c>
      <c r="O417" s="21">
        <f t="shared" si="26"/>
        <v>0</v>
      </c>
      <c r="P417" s="21">
        <f t="shared" si="27"/>
        <v>103.9999</v>
      </c>
    </row>
    <row r="418" spans="1:16" ht="15" customHeight="1" x14ac:dyDescent="0.3">
      <c r="A418" s="7" t="s">
        <v>413</v>
      </c>
      <c r="B418" s="7" t="s">
        <v>572</v>
      </c>
      <c r="C418" s="3" t="s">
        <v>694</v>
      </c>
      <c r="D418" s="8" t="s">
        <v>1</v>
      </c>
      <c r="E418" s="8" t="s">
        <v>5</v>
      </c>
      <c r="F418" s="6">
        <v>144</v>
      </c>
      <c r="G418" s="2">
        <v>59.2014</v>
      </c>
      <c r="H418" s="2">
        <v>82.022099999999995</v>
      </c>
      <c r="I418" s="2">
        <v>31.495899999999999</v>
      </c>
      <c r="J418" s="2">
        <v>4163.6220999999996</v>
      </c>
      <c r="K418" s="2">
        <v>5172.0583999999999</v>
      </c>
      <c r="L418" s="2">
        <v>1931.7985000000001</v>
      </c>
      <c r="M418" s="20" t="str">
        <f t="shared" si="24"/>
        <v>38.55</v>
      </c>
      <c r="N418" s="21">
        <f t="shared" si="25"/>
        <v>-22.820699999999995</v>
      </c>
      <c r="O418" s="21">
        <f t="shared" si="26"/>
        <v>3240.2599</v>
      </c>
      <c r="P418" s="21">
        <f t="shared" si="27"/>
        <v>-1008.4363000000003</v>
      </c>
    </row>
    <row r="419" spans="1:16" ht="15" customHeight="1" x14ac:dyDescent="0.3">
      <c r="A419" s="7" t="s">
        <v>414</v>
      </c>
      <c r="B419" s="7" t="s">
        <v>572</v>
      </c>
      <c r="C419" s="3" t="s">
        <v>694</v>
      </c>
      <c r="D419" s="8" t="s">
        <v>1</v>
      </c>
      <c r="E419" s="8" t="s">
        <v>5</v>
      </c>
      <c r="F419" s="6">
        <v>144</v>
      </c>
      <c r="G419" s="2">
        <v>6.7272999999999996</v>
      </c>
      <c r="H419" s="2">
        <v>1.7110000000000001</v>
      </c>
      <c r="I419" s="2">
        <v>1.5649999999999999</v>
      </c>
      <c r="J419" s="2">
        <v>473.34</v>
      </c>
      <c r="K419" s="2">
        <v>112.14570000000001</v>
      </c>
      <c r="L419" s="2">
        <v>108.86020000000001</v>
      </c>
      <c r="M419" s="20" t="str">
        <f t="shared" si="24"/>
        <v>-74.57</v>
      </c>
      <c r="N419" s="21">
        <f t="shared" si="25"/>
        <v>5.0162999999999993</v>
      </c>
      <c r="O419" s="21">
        <f t="shared" si="26"/>
        <v>3.285499999999999</v>
      </c>
      <c r="P419" s="21">
        <f t="shared" si="27"/>
        <v>361.1943</v>
      </c>
    </row>
    <row r="420" spans="1:16" ht="15" customHeight="1" x14ac:dyDescent="0.3">
      <c r="A420" s="7" t="s">
        <v>415</v>
      </c>
      <c r="B420" s="7" t="s">
        <v>573</v>
      </c>
      <c r="C420" s="3" t="s">
        <v>695</v>
      </c>
      <c r="D420" s="8" t="s">
        <v>1</v>
      </c>
      <c r="E420" s="8" t="s">
        <v>41</v>
      </c>
      <c r="F420" s="6">
        <v>120</v>
      </c>
      <c r="G420" s="2">
        <v>53.944000000000003</v>
      </c>
      <c r="H420" s="2">
        <v>41.741</v>
      </c>
      <c r="I420" s="2">
        <v>12.7791</v>
      </c>
      <c r="J420" s="2">
        <v>3422.2186000000002</v>
      </c>
      <c r="K420" s="2">
        <v>2176.2671999999998</v>
      </c>
      <c r="L420" s="2">
        <v>723.71550000000002</v>
      </c>
      <c r="M420" s="20" t="str">
        <f t="shared" si="24"/>
        <v>-22.62</v>
      </c>
      <c r="N420" s="21">
        <f t="shared" si="25"/>
        <v>12.203000000000003</v>
      </c>
      <c r="O420" s="21">
        <f t="shared" si="26"/>
        <v>1452.5516999999998</v>
      </c>
      <c r="P420" s="21">
        <f t="shared" si="27"/>
        <v>1245.9514000000004</v>
      </c>
    </row>
    <row r="421" spans="1:16" ht="15" customHeight="1" x14ac:dyDescent="0.3">
      <c r="A421" s="7" t="s">
        <v>416</v>
      </c>
      <c r="B421" s="7" t="s">
        <v>573</v>
      </c>
      <c r="C421" s="3" t="s">
        <v>695</v>
      </c>
      <c r="D421" s="8" t="s">
        <v>1</v>
      </c>
      <c r="E421" s="8" t="s">
        <v>41</v>
      </c>
      <c r="F421" s="6">
        <v>72</v>
      </c>
      <c r="G421" s="2">
        <v>10.5024</v>
      </c>
      <c r="H421" s="2">
        <v>1.2988</v>
      </c>
      <c r="I421" s="2">
        <v>0.38090000000000002</v>
      </c>
      <c r="J421" s="2">
        <v>626.13580000000002</v>
      </c>
      <c r="K421" s="2">
        <v>67.750100000000003</v>
      </c>
      <c r="L421" s="2">
        <v>17.785299999999999</v>
      </c>
      <c r="M421" s="20" t="str">
        <f t="shared" si="24"/>
        <v>-87.63</v>
      </c>
      <c r="N421" s="21">
        <f t="shared" si="25"/>
        <v>9.2035999999999998</v>
      </c>
      <c r="O421" s="21">
        <f t="shared" si="26"/>
        <v>49.964800000000004</v>
      </c>
      <c r="P421" s="21">
        <f t="shared" si="27"/>
        <v>558.38570000000004</v>
      </c>
    </row>
    <row r="422" spans="1:16" ht="15" customHeight="1" x14ac:dyDescent="0.3">
      <c r="A422" s="7" t="s">
        <v>417</v>
      </c>
      <c r="B422" s="7" t="s">
        <v>573</v>
      </c>
      <c r="C422" s="3" t="s">
        <v>696</v>
      </c>
      <c r="D422" s="8" t="s">
        <v>1</v>
      </c>
      <c r="E422" s="8" t="s">
        <v>5</v>
      </c>
      <c r="F422" s="6">
        <v>102</v>
      </c>
      <c r="G422" s="2">
        <v>1.4174</v>
      </c>
      <c r="H422" s="2">
        <v>2.3006000000000002</v>
      </c>
      <c r="I422" s="2">
        <v>0</v>
      </c>
      <c r="J422" s="2">
        <v>78.384500000000003</v>
      </c>
      <c r="K422" s="2">
        <v>113.29300000000001</v>
      </c>
      <c r="L422" s="2">
        <v>0</v>
      </c>
      <c r="M422" s="20" t="str">
        <f t="shared" si="24"/>
        <v>62.31</v>
      </c>
      <c r="N422" s="21">
        <f t="shared" si="25"/>
        <v>-0.88320000000000021</v>
      </c>
      <c r="O422" s="21">
        <f t="shared" si="26"/>
        <v>113.29300000000001</v>
      </c>
      <c r="P422" s="21">
        <f t="shared" si="27"/>
        <v>-34.908500000000004</v>
      </c>
    </row>
    <row r="423" spans="1:16" ht="15" customHeight="1" x14ac:dyDescent="0.3">
      <c r="A423" s="7" t="s">
        <v>418</v>
      </c>
      <c r="B423" s="7" t="s">
        <v>574</v>
      </c>
      <c r="C423" s="3" t="s">
        <v>697</v>
      </c>
      <c r="D423" s="8" t="s">
        <v>1</v>
      </c>
      <c r="E423" s="8" t="s">
        <v>45</v>
      </c>
      <c r="F423" s="6">
        <v>72</v>
      </c>
      <c r="G423" s="2">
        <v>2.9096000000000002</v>
      </c>
      <c r="H423" s="2">
        <v>6.0198</v>
      </c>
      <c r="I423" s="2">
        <v>5.5109000000000004</v>
      </c>
      <c r="J423" s="2">
        <v>55.366500000000002</v>
      </c>
      <c r="K423" s="2">
        <v>108.4705</v>
      </c>
      <c r="L423" s="2">
        <v>98.710099999999997</v>
      </c>
      <c r="M423" s="20" t="str">
        <f t="shared" si="24"/>
        <v>106.89</v>
      </c>
      <c r="N423" s="21">
        <f t="shared" si="25"/>
        <v>-3.1101999999999999</v>
      </c>
      <c r="O423" s="21">
        <f t="shared" si="26"/>
        <v>9.7604000000000042</v>
      </c>
      <c r="P423" s="21">
        <f t="shared" si="27"/>
        <v>-53.103999999999999</v>
      </c>
    </row>
    <row r="424" spans="1:16" ht="15" customHeight="1" x14ac:dyDescent="0.3">
      <c r="A424" s="7" t="s">
        <v>419</v>
      </c>
      <c r="B424" s="7" t="s">
        <v>575</v>
      </c>
      <c r="C424" s="3" t="s">
        <v>698</v>
      </c>
      <c r="D424" s="8" t="s">
        <v>1</v>
      </c>
      <c r="E424" s="8" t="s">
        <v>5</v>
      </c>
      <c r="F424" s="6">
        <v>72</v>
      </c>
      <c r="G424" s="2">
        <v>0</v>
      </c>
      <c r="H424" s="2">
        <v>0</v>
      </c>
      <c r="I424" s="2">
        <v>9.1999999999999998E-3</v>
      </c>
      <c r="J424" s="2">
        <v>0</v>
      </c>
      <c r="K424" s="2">
        <v>0</v>
      </c>
      <c r="L424" s="2">
        <v>0.30320000000000003</v>
      </c>
      <c r="M424" s="20" t="str">
        <f t="shared" si="24"/>
        <v>0.00</v>
      </c>
      <c r="N424" s="21">
        <f t="shared" si="25"/>
        <v>0</v>
      </c>
      <c r="O424" s="21">
        <f t="shared" si="26"/>
        <v>-0.30320000000000003</v>
      </c>
      <c r="P424" s="21">
        <f t="shared" si="27"/>
        <v>0</v>
      </c>
    </row>
    <row r="425" spans="1:16" ht="15" customHeight="1" x14ac:dyDescent="0.3">
      <c r="A425" s="7" t="s">
        <v>420</v>
      </c>
      <c r="B425" s="7" t="s">
        <v>576</v>
      </c>
      <c r="C425" s="3" t="s">
        <v>740</v>
      </c>
      <c r="D425" s="8" t="s">
        <v>1</v>
      </c>
      <c r="E425" s="8" t="s">
        <v>5</v>
      </c>
      <c r="F425" s="6">
        <v>60</v>
      </c>
      <c r="G425" s="2">
        <v>0.35610000000000003</v>
      </c>
      <c r="H425" s="2">
        <v>0</v>
      </c>
      <c r="I425" s="2">
        <v>0</v>
      </c>
      <c r="J425" s="2">
        <v>5.6227</v>
      </c>
      <c r="K425" s="2">
        <v>0</v>
      </c>
      <c r="L425" s="2">
        <v>0</v>
      </c>
      <c r="M425" s="20" t="str">
        <f t="shared" si="24"/>
        <v>0.00</v>
      </c>
      <c r="N425" s="21">
        <f t="shared" si="25"/>
        <v>0.35610000000000003</v>
      </c>
      <c r="O425" s="21">
        <f t="shared" si="26"/>
        <v>0</v>
      </c>
      <c r="P425" s="21">
        <f t="shared" si="27"/>
        <v>5.6227</v>
      </c>
    </row>
    <row r="426" spans="1:16" ht="15" customHeight="1" x14ac:dyDescent="0.3">
      <c r="A426" s="7" t="s">
        <v>421</v>
      </c>
      <c r="B426" s="7" t="s">
        <v>576</v>
      </c>
      <c r="C426" s="3" t="s">
        <v>740</v>
      </c>
      <c r="D426" s="8" t="s">
        <v>1</v>
      </c>
      <c r="E426" s="8" t="s">
        <v>2</v>
      </c>
      <c r="F426" s="6">
        <v>72</v>
      </c>
      <c r="G426" s="2">
        <v>1.3764000000000001</v>
      </c>
      <c r="H426" s="2">
        <v>2.7699999999999999E-2</v>
      </c>
      <c r="I426" s="2">
        <v>0</v>
      </c>
      <c r="J426" s="2">
        <v>28.943100000000001</v>
      </c>
      <c r="K426" s="2">
        <v>0.64290000000000003</v>
      </c>
      <c r="L426" s="2">
        <v>0</v>
      </c>
      <c r="M426" s="20" t="str">
        <f t="shared" si="24"/>
        <v>-97.99</v>
      </c>
      <c r="N426" s="21">
        <f t="shared" si="25"/>
        <v>1.3487</v>
      </c>
      <c r="O426" s="21">
        <f t="shared" si="26"/>
        <v>0.64290000000000003</v>
      </c>
      <c r="P426" s="21">
        <f t="shared" si="27"/>
        <v>28.3002</v>
      </c>
    </row>
    <row r="427" spans="1:16" ht="15" customHeight="1" x14ac:dyDescent="0.3">
      <c r="A427" s="7" t="s">
        <v>422</v>
      </c>
      <c r="B427" s="7" t="s">
        <v>576</v>
      </c>
      <c r="C427" s="4" t="s">
        <v>699</v>
      </c>
      <c r="D427" s="8" t="s">
        <v>1</v>
      </c>
      <c r="E427" s="8" t="s">
        <v>12</v>
      </c>
      <c r="F427" s="6">
        <v>24</v>
      </c>
      <c r="G427" s="2">
        <v>6.7664999999999997</v>
      </c>
      <c r="H427" s="2">
        <v>0.54779999999999995</v>
      </c>
      <c r="I427" s="2">
        <v>0</v>
      </c>
      <c r="J427" s="2">
        <v>162.6651</v>
      </c>
      <c r="K427" s="2">
        <v>12.7288</v>
      </c>
      <c r="L427" s="2">
        <v>0</v>
      </c>
      <c r="M427" s="20" t="str">
        <f t="shared" si="24"/>
        <v>-91.90</v>
      </c>
      <c r="N427" s="21">
        <f t="shared" si="25"/>
        <v>6.2187000000000001</v>
      </c>
      <c r="O427" s="21">
        <f t="shared" si="26"/>
        <v>12.7288</v>
      </c>
      <c r="P427" s="21">
        <f t="shared" si="27"/>
        <v>149.93629999999999</v>
      </c>
    </row>
    <row r="428" spans="1:16" ht="15" customHeight="1" x14ac:dyDescent="0.3">
      <c r="A428" s="7" t="s">
        <v>423</v>
      </c>
      <c r="B428" s="7" t="s">
        <v>576</v>
      </c>
      <c r="C428" s="4" t="s">
        <v>699</v>
      </c>
      <c r="D428" s="8" t="s">
        <v>1</v>
      </c>
      <c r="E428" s="8" t="s">
        <v>12</v>
      </c>
      <c r="F428" s="6">
        <v>60</v>
      </c>
      <c r="G428" s="2">
        <v>14.513400000000001</v>
      </c>
      <c r="H428" s="2">
        <v>11.551399999999999</v>
      </c>
      <c r="I428" s="2">
        <v>8.6715</v>
      </c>
      <c r="J428" s="2">
        <v>383.46769999999998</v>
      </c>
      <c r="K428" s="2">
        <v>307.81580000000002</v>
      </c>
      <c r="L428" s="2">
        <v>255.3304</v>
      </c>
      <c r="M428" s="20" t="str">
        <f t="shared" si="24"/>
        <v>-20.41</v>
      </c>
      <c r="N428" s="21">
        <f t="shared" si="25"/>
        <v>2.9620000000000015</v>
      </c>
      <c r="O428" s="21">
        <f t="shared" si="26"/>
        <v>52.485400000000027</v>
      </c>
      <c r="P428" s="21">
        <f t="shared" si="27"/>
        <v>75.651899999999955</v>
      </c>
    </row>
    <row r="429" spans="1:16" ht="15" customHeight="1" x14ac:dyDescent="0.3">
      <c r="A429" s="7" t="s">
        <v>424</v>
      </c>
      <c r="B429" s="7" t="s">
        <v>576</v>
      </c>
      <c r="C429" s="4" t="s">
        <v>699</v>
      </c>
      <c r="D429" s="8" t="s">
        <v>1</v>
      </c>
      <c r="E429" s="8" t="s">
        <v>12</v>
      </c>
      <c r="F429" s="6">
        <v>60</v>
      </c>
      <c r="G429" s="2">
        <v>17.654699999999998</v>
      </c>
      <c r="H429" s="2">
        <v>12.539</v>
      </c>
      <c r="I429" s="2">
        <v>4.6113</v>
      </c>
      <c r="J429" s="2">
        <v>482.61590000000001</v>
      </c>
      <c r="K429" s="2">
        <v>340.10579999999999</v>
      </c>
      <c r="L429" s="2">
        <v>153.12389999999999</v>
      </c>
      <c r="M429" s="20" t="str">
        <f t="shared" si="24"/>
        <v>-28.98</v>
      </c>
      <c r="N429" s="21">
        <f t="shared" si="25"/>
        <v>5.1156999999999986</v>
      </c>
      <c r="O429" s="21">
        <f t="shared" si="26"/>
        <v>186.9819</v>
      </c>
      <c r="P429" s="21">
        <f t="shared" si="27"/>
        <v>142.51010000000002</v>
      </c>
    </row>
    <row r="430" spans="1:16" ht="15" customHeight="1" x14ac:dyDescent="0.3">
      <c r="A430" s="7" t="s">
        <v>599</v>
      </c>
      <c r="B430" s="7" t="s">
        <v>576</v>
      </c>
      <c r="C430" s="3" t="s">
        <v>700</v>
      </c>
      <c r="D430" s="8" t="s">
        <v>1</v>
      </c>
      <c r="E430" s="8" t="s">
        <v>2</v>
      </c>
      <c r="F430" s="6">
        <v>120</v>
      </c>
      <c r="G430" s="2">
        <v>20.231999999999999</v>
      </c>
      <c r="H430" s="2">
        <v>11.313700000000001</v>
      </c>
      <c r="I430" s="2">
        <v>0</v>
      </c>
      <c r="J430" s="2">
        <v>583.67819999999995</v>
      </c>
      <c r="K430" s="2">
        <v>345.19709999999998</v>
      </c>
      <c r="L430" s="2">
        <v>0</v>
      </c>
      <c r="M430" s="20" t="str">
        <f t="shared" si="24"/>
        <v>-44.08</v>
      </c>
      <c r="N430" s="21">
        <f t="shared" si="25"/>
        <v>8.9182999999999986</v>
      </c>
      <c r="O430" s="21">
        <f t="shared" si="26"/>
        <v>345.19709999999998</v>
      </c>
      <c r="P430" s="21">
        <f t="shared" si="27"/>
        <v>238.48109999999997</v>
      </c>
    </row>
    <row r="431" spans="1:16" ht="15" customHeight="1" x14ac:dyDescent="0.3">
      <c r="A431" s="7" t="s">
        <v>425</v>
      </c>
      <c r="B431" s="7" t="s">
        <v>577</v>
      </c>
      <c r="C431" s="3" t="s">
        <v>701</v>
      </c>
      <c r="D431" s="8" t="s">
        <v>1</v>
      </c>
      <c r="E431" s="8" t="s">
        <v>5</v>
      </c>
      <c r="F431" s="6">
        <v>120</v>
      </c>
      <c r="G431" s="2">
        <v>0</v>
      </c>
      <c r="H431" s="2">
        <v>20.586300000000001</v>
      </c>
      <c r="I431" s="2">
        <v>29.262499999999999</v>
      </c>
      <c r="J431" s="2">
        <v>0</v>
      </c>
      <c r="K431" s="2">
        <v>1265.0245</v>
      </c>
      <c r="L431" s="2">
        <v>1657.2372</v>
      </c>
      <c r="M431" s="20" t="str">
        <f t="shared" si="24"/>
        <v>0.00</v>
      </c>
      <c r="N431" s="21">
        <f t="shared" si="25"/>
        <v>-20.586300000000001</v>
      </c>
      <c r="O431" s="21">
        <f t="shared" si="26"/>
        <v>-392.21270000000004</v>
      </c>
      <c r="P431" s="21">
        <f t="shared" si="27"/>
        <v>-1265.0245</v>
      </c>
    </row>
    <row r="432" spans="1:16" ht="15" customHeight="1" x14ac:dyDescent="0.3">
      <c r="A432" s="7" t="s">
        <v>426</v>
      </c>
      <c r="B432" s="7" t="s">
        <v>577</v>
      </c>
      <c r="C432" s="3" t="s">
        <v>701</v>
      </c>
      <c r="D432" s="8" t="s">
        <v>1</v>
      </c>
      <c r="E432" s="8" t="s">
        <v>5</v>
      </c>
      <c r="F432" s="6">
        <v>72</v>
      </c>
      <c r="G432" s="2">
        <v>26.3474</v>
      </c>
      <c r="H432" s="2">
        <v>52.005499999999998</v>
      </c>
      <c r="I432" s="2">
        <v>32.744900000000001</v>
      </c>
      <c r="J432" s="2">
        <v>920.46799999999996</v>
      </c>
      <c r="K432" s="2">
        <v>1819.1769999999999</v>
      </c>
      <c r="L432" s="2">
        <v>1062.7058999999999</v>
      </c>
      <c r="M432" s="20" t="str">
        <f t="shared" si="24"/>
        <v>97.38</v>
      </c>
      <c r="N432" s="21">
        <f t="shared" si="25"/>
        <v>-25.658099999999997</v>
      </c>
      <c r="O432" s="21">
        <f t="shared" si="26"/>
        <v>756.47109999999998</v>
      </c>
      <c r="P432" s="21">
        <f t="shared" si="27"/>
        <v>-898.70899999999995</v>
      </c>
    </row>
    <row r="433" spans="1:16" ht="15" customHeight="1" x14ac:dyDescent="0.3">
      <c r="A433" s="7" t="s">
        <v>427</v>
      </c>
      <c r="B433" s="7" t="s">
        <v>578</v>
      </c>
      <c r="C433" s="3" t="s">
        <v>702</v>
      </c>
      <c r="D433" s="8" t="s">
        <v>1</v>
      </c>
      <c r="E433" s="8" t="s">
        <v>2</v>
      </c>
      <c r="F433" s="6">
        <v>72</v>
      </c>
      <c r="G433" s="2">
        <v>0.1701</v>
      </c>
      <c r="H433" s="2">
        <v>0.71989999999999998</v>
      </c>
      <c r="I433" s="2">
        <v>4.9299999999999997E-2</v>
      </c>
      <c r="J433" s="2">
        <v>1.008</v>
      </c>
      <c r="K433" s="2">
        <v>3.8765000000000001</v>
      </c>
      <c r="L433" s="2">
        <v>0.28799999999999998</v>
      </c>
      <c r="M433" s="20" t="str">
        <f t="shared" si="24"/>
        <v>323.22</v>
      </c>
      <c r="N433" s="21">
        <f t="shared" si="25"/>
        <v>-0.54979999999999996</v>
      </c>
      <c r="O433" s="21">
        <f t="shared" si="26"/>
        <v>3.5885000000000002</v>
      </c>
      <c r="P433" s="21">
        <f t="shared" si="27"/>
        <v>-2.8685</v>
      </c>
    </row>
    <row r="434" spans="1:16" ht="15" customHeight="1" x14ac:dyDescent="0.3">
      <c r="A434" s="7" t="s">
        <v>428</v>
      </c>
      <c r="B434" s="7" t="s">
        <v>578</v>
      </c>
      <c r="C434" s="3" t="s">
        <v>702</v>
      </c>
      <c r="D434" s="8" t="s">
        <v>405</v>
      </c>
      <c r="E434" s="8" t="s">
        <v>2</v>
      </c>
      <c r="F434" s="6">
        <v>70</v>
      </c>
      <c r="G434" s="2">
        <v>0.8034</v>
      </c>
      <c r="H434" s="2">
        <v>0.64690000000000003</v>
      </c>
      <c r="I434" s="2">
        <v>0.2069</v>
      </c>
      <c r="J434" s="2">
        <v>3.92</v>
      </c>
      <c r="K434" s="2">
        <v>3.48</v>
      </c>
      <c r="L434" s="2">
        <v>1.1399999999999999</v>
      </c>
      <c r="M434" s="20" t="str">
        <f t="shared" si="24"/>
        <v>-19.48</v>
      </c>
      <c r="N434" s="21">
        <f t="shared" si="25"/>
        <v>0.15649999999999997</v>
      </c>
      <c r="O434" s="21">
        <f t="shared" si="26"/>
        <v>2.34</v>
      </c>
      <c r="P434" s="21">
        <f t="shared" si="27"/>
        <v>0.43999999999999995</v>
      </c>
    </row>
    <row r="435" spans="1:16" ht="15" customHeight="1" x14ac:dyDescent="0.3">
      <c r="A435" s="7" t="s">
        <v>429</v>
      </c>
      <c r="B435" s="7" t="s">
        <v>579</v>
      </c>
      <c r="C435" s="3" t="s">
        <v>703</v>
      </c>
      <c r="D435" s="8" t="s">
        <v>1</v>
      </c>
      <c r="E435" s="8" t="s">
        <v>5</v>
      </c>
      <c r="F435" s="6">
        <v>72</v>
      </c>
      <c r="G435" s="2">
        <v>16.393699999999999</v>
      </c>
      <c r="H435" s="2">
        <v>13.5199</v>
      </c>
      <c r="I435" s="2">
        <v>5.5843999999999996</v>
      </c>
      <c r="J435" s="2">
        <v>841.14940000000001</v>
      </c>
      <c r="K435" s="2">
        <v>693.07759999999996</v>
      </c>
      <c r="L435" s="2">
        <v>305.17070000000001</v>
      </c>
      <c r="M435" s="20" t="str">
        <f t="shared" si="24"/>
        <v>-17.53</v>
      </c>
      <c r="N435" s="21">
        <f t="shared" si="25"/>
        <v>2.8737999999999992</v>
      </c>
      <c r="O435" s="21">
        <f t="shared" si="26"/>
        <v>387.90689999999995</v>
      </c>
      <c r="P435" s="21">
        <f t="shared" si="27"/>
        <v>148.07180000000005</v>
      </c>
    </row>
    <row r="436" spans="1:16" ht="15" customHeight="1" x14ac:dyDescent="0.3">
      <c r="A436" s="7" t="s">
        <v>430</v>
      </c>
      <c r="B436" s="7" t="s">
        <v>579</v>
      </c>
      <c r="C436" s="3" t="s">
        <v>703</v>
      </c>
      <c r="D436" s="8" t="s">
        <v>1</v>
      </c>
      <c r="E436" s="8" t="s">
        <v>5</v>
      </c>
      <c r="F436" s="6">
        <v>72</v>
      </c>
      <c r="G436" s="2">
        <v>2.1175000000000002</v>
      </c>
      <c r="H436" s="2">
        <v>0.66620000000000001</v>
      </c>
      <c r="I436" s="2">
        <v>0</v>
      </c>
      <c r="J436" s="2">
        <v>137.34479999999999</v>
      </c>
      <c r="K436" s="2">
        <v>41.348700000000001</v>
      </c>
      <c r="L436" s="2">
        <v>0</v>
      </c>
      <c r="M436" s="20" t="str">
        <f t="shared" si="24"/>
        <v>-68.54</v>
      </c>
      <c r="N436" s="21">
        <f t="shared" si="25"/>
        <v>1.4513000000000003</v>
      </c>
      <c r="O436" s="21">
        <f t="shared" si="26"/>
        <v>41.348700000000001</v>
      </c>
      <c r="P436" s="21">
        <f t="shared" si="27"/>
        <v>95.996099999999984</v>
      </c>
    </row>
    <row r="437" spans="1:16" ht="15" customHeight="1" x14ac:dyDescent="0.3">
      <c r="A437" s="7" t="s">
        <v>431</v>
      </c>
      <c r="B437" s="7" t="s">
        <v>580</v>
      </c>
      <c r="C437" s="3" t="s">
        <v>704</v>
      </c>
      <c r="D437" s="8" t="s">
        <v>1</v>
      </c>
      <c r="E437" s="8" t="s">
        <v>5</v>
      </c>
      <c r="F437" s="6">
        <v>120</v>
      </c>
      <c r="G437" s="2">
        <v>1.9984999999999999</v>
      </c>
      <c r="H437" s="2">
        <v>3.2300000000000002E-2</v>
      </c>
      <c r="I437" s="2">
        <v>0</v>
      </c>
      <c r="J437" s="2">
        <v>141.71469999999999</v>
      </c>
      <c r="K437" s="2">
        <v>1.9971000000000001</v>
      </c>
      <c r="L437" s="2">
        <v>0</v>
      </c>
      <c r="M437" s="20" t="str">
        <f t="shared" si="24"/>
        <v>-98.38</v>
      </c>
      <c r="N437" s="21">
        <f t="shared" si="25"/>
        <v>1.9661999999999999</v>
      </c>
      <c r="O437" s="21">
        <f t="shared" si="26"/>
        <v>1.9971000000000001</v>
      </c>
      <c r="P437" s="21">
        <f t="shared" si="27"/>
        <v>139.7176</v>
      </c>
    </row>
    <row r="438" spans="1:16" ht="15" customHeight="1" x14ac:dyDescent="0.3">
      <c r="A438" s="7" t="s">
        <v>432</v>
      </c>
      <c r="B438" s="7" t="s">
        <v>580</v>
      </c>
      <c r="C438" s="3" t="s">
        <v>705</v>
      </c>
      <c r="D438" s="8" t="s">
        <v>1</v>
      </c>
      <c r="E438" s="8" t="s">
        <v>12</v>
      </c>
      <c r="F438" s="6">
        <v>100</v>
      </c>
      <c r="G438" s="2">
        <v>136.17420000000001</v>
      </c>
      <c r="H438" s="2">
        <v>152.24180000000001</v>
      </c>
      <c r="I438" s="2">
        <v>70.924899999999994</v>
      </c>
      <c r="J438" s="2">
        <v>7155.8876</v>
      </c>
      <c r="K438" s="2">
        <v>7606.2596000000003</v>
      </c>
      <c r="L438" s="2">
        <v>3236.7058000000002</v>
      </c>
      <c r="M438" s="20" t="str">
        <f t="shared" si="24"/>
        <v>11.80</v>
      </c>
      <c r="N438" s="21">
        <f t="shared" si="25"/>
        <v>-16.067599999999999</v>
      </c>
      <c r="O438" s="21">
        <f t="shared" si="26"/>
        <v>4369.5537999999997</v>
      </c>
      <c r="P438" s="21">
        <f t="shared" si="27"/>
        <v>-450.3720000000003</v>
      </c>
    </row>
    <row r="439" spans="1:16" ht="15" customHeight="1" x14ac:dyDescent="0.3">
      <c r="A439" s="7" t="s">
        <v>433</v>
      </c>
      <c r="B439" s="7" t="s">
        <v>580</v>
      </c>
      <c r="C439" s="3" t="s">
        <v>705</v>
      </c>
      <c r="D439" s="8" t="s">
        <v>1</v>
      </c>
      <c r="E439" s="8" t="s">
        <v>5</v>
      </c>
      <c r="F439" s="6">
        <v>120</v>
      </c>
      <c r="G439" s="2">
        <v>166.38550000000001</v>
      </c>
      <c r="H439" s="2">
        <v>154.19909999999999</v>
      </c>
      <c r="I439" s="2">
        <v>78.409199999999998</v>
      </c>
      <c r="J439" s="2">
        <v>8805.9477000000006</v>
      </c>
      <c r="K439" s="2">
        <v>8032.0802000000003</v>
      </c>
      <c r="L439" s="2">
        <v>3983.7687000000001</v>
      </c>
      <c r="M439" s="20" t="str">
        <f t="shared" si="24"/>
        <v>-7.32</v>
      </c>
      <c r="N439" s="21">
        <f t="shared" si="25"/>
        <v>12.18640000000002</v>
      </c>
      <c r="O439" s="21">
        <f t="shared" si="26"/>
        <v>4048.3115000000003</v>
      </c>
      <c r="P439" s="21">
        <f t="shared" si="27"/>
        <v>773.86750000000029</v>
      </c>
    </row>
    <row r="440" spans="1:16" ht="15" customHeight="1" x14ac:dyDescent="0.3">
      <c r="A440" s="7" t="s">
        <v>434</v>
      </c>
      <c r="B440" s="7" t="s">
        <v>580</v>
      </c>
      <c r="C440" s="3" t="s">
        <v>705</v>
      </c>
      <c r="D440" s="8" t="s">
        <v>1</v>
      </c>
      <c r="E440" s="8" t="s">
        <v>5</v>
      </c>
      <c r="F440" s="6">
        <v>72</v>
      </c>
      <c r="G440" s="2">
        <v>7.4499999999999997E-2</v>
      </c>
      <c r="H440" s="2">
        <v>0</v>
      </c>
      <c r="I440" s="2">
        <v>0</v>
      </c>
      <c r="J440" s="2">
        <v>5.2851999999999997</v>
      </c>
      <c r="K440" s="2">
        <v>0</v>
      </c>
      <c r="L440" s="2">
        <v>0</v>
      </c>
      <c r="M440" s="20" t="str">
        <f t="shared" si="24"/>
        <v>0.00</v>
      </c>
      <c r="N440" s="21">
        <f t="shared" si="25"/>
        <v>7.4499999999999997E-2</v>
      </c>
      <c r="O440" s="21">
        <f t="shared" si="26"/>
        <v>0</v>
      </c>
      <c r="P440" s="21">
        <f t="shared" si="27"/>
        <v>5.2851999999999997</v>
      </c>
    </row>
    <row r="441" spans="1:16" ht="15" customHeight="1" x14ac:dyDescent="0.3">
      <c r="A441" s="7" t="s">
        <v>435</v>
      </c>
      <c r="B441" s="7" t="s">
        <v>580</v>
      </c>
      <c r="C441" s="3" t="s">
        <v>705</v>
      </c>
      <c r="D441" s="8" t="s">
        <v>1</v>
      </c>
      <c r="E441" s="8" t="s">
        <v>2</v>
      </c>
      <c r="F441" s="6">
        <v>72</v>
      </c>
      <c r="G441" s="2">
        <v>4.2912999999999997</v>
      </c>
      <c r="H441" s="2">
        <v>3.2158000000000002</v>
      </c>
      <c r="I441" s="2">
        <v>0.39529999999999998</v>
      </c>
      <c r="J441" s="2">
        <v>253.55109999999999</v>
      </c>
      <c r="K441" s="2">
        <v>179.24690000000001</v>
      </c>
      <c r="L441" s="2">
        <v>19.092600000000001</v>
      </c>
      <c r="M441" s="20" t="str">
        <f t="shared" si="24"/>
        <v>-25.06</v>
      </c>
      <c r="N441" s="21">
        <f t="shared" si="25"/>
        <v>1.0754999999999995</v>
      </c>
      <c r="O441" s="21">
        <f t="shared" si="26"/>
        <v>160.15430000000001</v>
      </c>
      <c r="P441" s="21">
        <f t="shared" si="27"/>
        <v>74.30419999999998</v>
      </c>
    </row>
    <row r="442" spans="1:16" ht="15" customHeight="1" x14ac:dyDescent="0.3">
      <c r="A442" s="7" t="s">
        <v>436</v>
      </c>
      <c r="B442" s="7" t="s">
        <v>580</v>
      </c>
      <c r="C442" s="3" t="s">
        <v>706</v>
      </c>
      <c r="D442" s="8" t="s">
        <v>1</v>
      </c>
      <c r="E442" s="8" t="s">
        <v>41</v>
      </c>
      <c r="F442" s="6">
        <v>120</v>
      </c>
      <c r="G442" s="2">
        <v>12.5473</v>
      </c>
      <c r="H442" s="2">
        <v>21.5989</v>
      </c>
      <c r="I442" s="2">
        <v>10.3498</v>
      </c>
      <c r="J442" s="2">
        <v>734.85479999999995</v>
      </c>
      <c r="K442" s="2">
        <v>1234.4389000000001</v>
      </c>
      <c r="L442" s="2">
        <v>587.04769999999996</v>
      </c>
      <c r="M442" s="20" t="str">
        <f t="shared" si="24"/>
        <v>72.14</v>
      </c>
      <c r="N442" s="21">
        <f t="shared" si="25"/>
        <v>-9.0516000000000005</v>
      </c>
      <c r="O442" s="21">
        <f t="shared" si="26"/>
        <v>647.39120000000014</v>
      </c>
      <c r="P442" s="21">
        <f t="shared" si="27"/>
        <v>-499.58410000000015</v>
      </c>
    </row>
    <row r="443" spans="1:16" ht="15" customHeight="1" x14ac:dyDescent="0.3">
      <c r="A443" s="7" t="s">
        <v>437</v>
      </c>
      <c r="B443" s="7" t="s">
        <v>580</v>
      </c>
      <c r="C443" s="3" t="s">
        <v>706</v>
      </c>
      <c r="D443" s="8" t="s">
        <v>1</v>
      </c>
      <c r="E443" s="8" t="s">
        <v>41</v>
      </c>
      <c r="F443" s="6">
        <v>70</v>
      </c>
      <c r="G443" s="2">
        <v>0.68669999999999998</v>
      </c>
      <c r="H443" s="2">
        <v>0</v>
      </c>
      <c r="I443" s="2">
        <v>0</v>
      </c>
      <c r="J443" s="2">
        <v>52.465899999999998</v>
      </c>
      <c r="K443" s="2">
        <v>0</v>
      </c>
      <c r="L443" s="2">
        <v>0</v>
      </c>
      <c r="M443" s="20" t="str">
        <f t="shared" si="24"/>
        <v>0.00</v>
      </c>
      <c r="N443" s="21">
        <f t="shared" si="25"/>
        <v>0.68669999999999998</v>
      </c>
      <c r="O443" s="21">
        <f t="shared" si="26"/>
        <v>0</v>
      </c>
      <c r="P443" s="21">
        <f t="shared" si="27"/>
        <v>52.465899999999998</v>
      </c>
    </row>
    <row r="444" spans="1:16" ht="15" customHeight="1" x14ac:dyDescent="0.3">
      <c r="A444" s="7" t="s">
        <v>438</v>
      </c>
      <c r="B444" s="7" t="s">
        <v>580</v>
      </c>
      <c r="C444" s="3" t="s">
        <v>706</v>
      </c>
      <c r="D444" s="8" t="s">
        <v>1</v>
      </c>
      <c r="E444" s="8" t="s">
        <v>41</v>
      </c>
      <c r="F444" s="6">
        <v>72</v>
      </c>
      <c r="G444" s="2">
        <v>37.213999999999999</v>
      </c>
      <c r="H444" s="2">
        <v>7.2126999999999999</v>
      </c>
      <c r="I444" s="2">
        <v>0</v>
      </c>
      <c r="J444" s="2">
        <v>2501.2190000000001</v>
      </c>
      <c r="K444" s="2">
        <v>451.55340000000001</v>
      </c>
      <c r="L444" s="2">
        <v>0</v>
      </c>
      <c r="M444" s="20" t="str">
        <f t="shared" si="24"/>
        <v>-80.62</v>
      </c>
      <c r="N444" s="21">
        <f t="shared" si="25"/>
        <v>30.001300000000001</v>
      </c>
      <c r="O444" s="21">
        <f t="shared" si="26"/>
        <v>451.55340000000001</v>
      </c>
      <c r="P444" s="21">
        <f t="shared" si="27"/>
        <v>2049.6656000000003</v>
      </c>
    </row>
    <row r="445" spans="1:16" ht="15" customHeight="1" x14ac:dyDescent="0.3">
      <c r="A445" s="7" t="s">
        <v>439</v>
      </c>
      <c r="B445" s="7" t="s">
        <v>580</v>
      </c>
      <c r="C445" s="3" t="s">
        <v>706</v>
      </c>
      <c r="D445" s="8" t="s">
        <v>1</v>
      </c>
      <c r="E445" s="8" t="s">
        <v>41</v>
      </c>
      <c r="F445" s="6">
        <v>90</v>
      </c>
      <c r="G445" s="2">
        <v>2.7111999999999998</v>
      </c>
      <c r="H445" s="2">
        <v>0</v>
      </c>
      <c r="I445" s="2">
        <v>0</v>
      </c>
      <c r="J445" s="2">
        <v>136.8194</v>
      </c>
      <c r="K445" s="2">
        <v>0</v>
      </c>
      <c r="L445" s="2">
        <v>0</v>
      </c>
      <c r="M445" s="20" t="str">
        <f t="shared" si="24"/>
        <v>0.00</v>
      </c>
      <c r="N445" s="21">
        <f t="shared" si="25"/>
        <v>2.7111999999999998</v>
      </c>
      <c r="O445" s="21">
        <f t="shared" si="26"/>
        <v>0</v>
      </c>
      <c r="P445" s="21">
        <f t="shared" si="27"/>
        <v>136.8194</v>
      </c>
    </row>
    <row r="446" spans="1:16" ht="15" customHeight="1" x14ac:dyDescent="0.3">
      <c r="A446" s="7" t="s">
        <v>440</v>
      </c>
      <c r="B446" s="7" t="s">
        <v>580</v>
      </c>
      <c r="C446" s="3" t="s">
        <v>707</v>
      </c>
      <c r="D446" s="8" t="s">
        <v>1</v>
      </c>
      <c r="E446" s="8" t="s">
        <v>41</v>
      </c>
      <c r="F446" s="6">
        <v>70</v>
      </c>
      <c r="G446" s="2">
        <v>0</v>
      </c>
      <c r="H446" s="2">
        <v>19.032699999999998</v>
      </c>
      <c r="I446" s="2">
        <v>19.713699999999999</v>
      </c>
      <c r="J446" s="2">
        <v>0</v>
      </c>
      <c r="K446" s="2">
        <v>1111.0531000000001</v>
      </c>
      <c r="L446" s="2">
        <v>1063.3096</v>
      </c>
      <c r="M446" s="20" t="str">
        <f t="shared" si="24"/>
        <v>0.00</v>
      </c>
      <c r="N446" s="21">
        <f t="shared" si="25"/>
        <v>-19.032699999999998</v>
      </c>
      <c r="O446" s="21">
        <f t="shared" si="26"/>
        <v>47.74350000000004</v>
      </c>
      <c r="P446" s="21">
        <f t="shared" si="27"/>
        <v>-1111.0531000000001</v>
      </c>
    </row>
    <row r="447" spans="1:16" ht="15" customHeight="1" x14ac:dyDescent="0.3">
      <c r="A447" s="7" t="s">
        <v>441</v>
      </c>
      <c r="B447" s="7" t="s">
        <v>580</v>
      </c>
      <c r="C447" s="3" t="s">
        <v>739</v>
      </c>
      <c r="D447" s="8" t="s">
        <v>1</v>
      </c>
      <c r="E447" s="8" t="s">
        <v>12</v>
      </c>
      <c r="F447" s="6">
        <v>100</v>
      </c>
      <c r="G447" s="2">
        <v>1.0042</v>
      </c>
      <c r="H447" s="2">
        <v>0</v>
      </c>
      <c r="I447" s="2">
        <v>0</v>
      </c>
      <c r="J447" s="2">
        <v>76.638000000000005</v>
      </c>
      <c r="K447" s="2">
        <v>0</v>
      </c>
      <c r="L447" s="2">
        <v>0</v>
      </c>
      <c r="M447" s="20" t="str">
        <f t="shared" si="24"/>
        <v>0.00</v>
      </c>
      <c r="N447" s="21">
        <f t="shared" si="25"/>
        <v>1.0042</v>
      </c>
      <c r="O447" s="21">
        <f t="shared" si="26"/>
        <v>0</v>
      </c>
      <c r="P447" s="21">
        <f t="shared" si="27"/>
        <v>76.638000000000005</v>
      </c>
    </row>
    <row r="448" spans="1:16" ht="15" customHeight="1" x14ac:dyDescent="0.3">
      <c r="A448" s="7" t="s">
        <v>442</v>
      </c>
      <c r="B448" s="7" t="s">
        <v>580</v>
      </c>
      <c r="C448" s="3" t="s">
        <v>739</v>
      </c>
      <c r="D448" s="8" t="s">
        <v>1</v>
      </c>
      <c r="E448" s="8" t="s">
        <v>5</v>
      </c>
      <c r="F448" s="6">
        <v>120</v>
      </c>
      <c r="G448" s="2">
        <v>251.465</v>
      </c>
      <c r="H448" s="2">
        <v>145.75579999999999</v>
      </c>
      <c r="I448" s="2">
        <v>77.822699999999998</v>
      </c>
      <c r="J448" s="2">
        <v>15122.0514</v>
      </c>
      <c r="K448" s="2">
        <v>8717.0684000000001</v>
      </c>
      <c r="L448" s="2">
        <v>4462.7493999999997</v>
      </c>
      <c r="M448" s="20" t="str">
        <f t="shared" si="24"/>
        <v>-42.04</v>
      </c>
      <c r="N448" s="21">
        <f t="shared" si="25"/>
        <v>105.70920000000001</v>
      </c>
      <c r="O448" s="21">
        <f t="shared" si="26"/>
        <v>4254.3190000000004</v>
      </c>
      <c r="P448" s="21">
        <f t="shared" si="27"/>
        <v>6404.9830000000002</v>
      </c>
    </row>
    <row r="449" spans="1:16" ht="15" customHeight="1" x14ac:dyDescent="0.3">
      <c r="A449" s="7" t="s">
        <v>443</v>
      </c>
      <c r="B449" s="7" t="s">
        <v>580</v>
      </c>
      <c r="C449" s="3" t="s">
        <v>739</v>
      </c>
      <c r="D449" s="8" t="s">
        <v>1</v>
      </c>
      <c r="E449" s="8" t="s">
        <v>12</v>
      </c>
      <c r="F449" s="6">
        <v>144</v>
      </c>
      <c r="G449" s="2">
        <v>15.856</v>
      </c>
      <c r="H449" s="2">
        <v>22.015000000000001</v>
      </c>
      <c r="I449" s="2">
        <v>3.4060000000000001</v>
      </c>
      <c r="J449" s="2">
        <v>1023.9475</v>
      </c>
      <c r="K449" s="2">
        <v>1391.8684000000001</v>
      </c>
      <c r="L449" s="2">
        <v>229.50649999999999</v>
      </c>
      <c r="M449" s="20" t="str">
        <f t="shared" si="24"/>
        <v>38.84</v>
      </c>
      <c r="N449" s="21">
        <f t="shared" si="25"/>
        <v>-6.1590000000000007</v>
      </c>
      <c r="O449" s="21">
        <f t="shared" si="26"/>
        <v>1162.3619000000001</v>
      </c>
      <c r="P449" s="21">
        <f t="shared" si="27"/>
        <v>-367.92090000000007</v>
      </c>
    </row>
    <row r="450" spans="1:16" ht="15" customHeight="1" x14ac:dyDescent="0.3">
      <c r="A450" s="7" t="s">
        <v>444</v>
      </c>
      <c r="B450" s="7" t="s">
        <v>580</v>
      </c>
      <c r="C450" s="3" t="s">
        <v>739</v>
      </c>
      <c r="D450" s="8" t="s">
        <v>1</v>
      </c>
      <c r="E450" s="8" t="s">
        <v>5</v>
      </c>
      <c r="F450" s="6">
        <v>60</v>
      </c>
      <c r="G450" s="2">
        <v>0</v>
      </c>
      <c r="H450" s="2">
        <v>0</v>
      </c>
      <c r="I450" s="2">
        <v>0.28920000000000001</v>
      </c>
      <c r="J450" s="2">
        <v>0</v>
      </c>
      <c r="K450" s="2">
        <v>0</v>
      </c>
      <c r="L450" s="2">
        <v>17.3521</v>
      </c>
      <c r="M450" s="20" t="str">
        <f t="shared" si="24"/>
        <v>0.00</v>
      </c>
      <c r="N450" s="21">
        <f t="shared" si="25"/>
        <v>0</v>
      </c>
      <c r="O450" s="21">
        <f t="shared" si="26"/>
        <v>-17.3521</v>
      </c>
      <c r="P450" s="21">
        <f t="shared" si="27"/>
        <v>0</v>
      </c>
    </row>
    <row r="451" spans="1:16" ht="15" customHeight="1" x14ac:dyDescent="0.3">
      <c r="A451" s="7" t="s">
        <v>445</v>
      </c>
      <c r="B451" s="7" t="s">
        <v>580</v>
      </c>
      <c r="C451" s="3" t="s">
        <v>739</v>
      </c>
      <c r="D451" s="8" t="s">
        <v>1</v>
      </c>
      <c r="E451" s="8" t="s">
        <v>5</v>
      </c>
      <c r="F451" s="6">
        <v>72</v>
      </c>
      <c r="G451" s="2">
        <v>2.5535999999999999</v>
      </c>
      <c r="H451" s="2">
        <v>3.8500999999999999</v>
      </c>
      <c r="I451" s="2">
        <v>0.82650000000000001</v>
      </c>
      <c r="J451" s="2">
        <v>126.3817</v>
      </c>
      <c r="K451" s="2">
        <v>174.249</v>
      </c>
      <c r="L451" s="2">
        <v>46.762</v>
      </c>
      <c r="M451" s="20" t="str">
        <f t="shared" ref="M451:M502" si="28">IF(OR(G451=0, H451=0), "0.00", TEXT((H451-G451)/G451*100, "0.00"))</f>
        <v>50.77</v>
      </c>
      <c r="N451" s="21">
        <f t="shared" ref="N451:N502" si="29">G451-H451</f>
        <v>-1.2965</v>
      </c>
      <c r="O451" s="21">
        <f t="shared" ref="O451:O502" si="30">K451-L451</f>
        <v>127.48699999999999</v>
      </c>
      <c r="P451" s="21">
        <f t="shared" ref="P451:P502" si="31">J451-K451</f>
        <v>-47.8673</v>
      </c>
    </row>
    <row r="452" spans="1:16" ht="15" customHeight="1" x14ac:dyDescent="0.3">
      <c r="A452" s="7" t="s">
        <v>446</v>
      </c>
      <c r="B452" s="7" t="s">
        <v>580</v>
      </c>
      <c r="C452" s="3" t="s">
        <v>739</v>
      </c>
      <c r="D452" s="8" t="s">
        <v>1</v>
      </c>
      <c r="E452" s="8" t="s">
        <v>5</v>
      </c>
      <c r="F452" s="6">
        <v>72</v>
      </c>
      <c r="G452" s="2">
        <v>0</v>
      </c>
      <c r="H452" s="2">
        <v>0.25659999999999999</v>
      </c>
      <c r="I452" s="2">
        <v>0</v>
      </c>
      <c r="J452" s="2">
        <v>0</v>
      </c>
      <c r="K452" s="2">
        <v>13.196899999999999</v>
      </c>
      <c r="L452" s="2">
        <v>0</v>
      </c>
      <c r="M452" s="20" t="str">
        <f t="shared" si="28"/>
        <v>0.00</v>
      </c>
      <c r="N452" s="21">
        <f t="shared" si="29"/>
        <v>-0.25659999999999999</v>
      </c>
      <c r="O452" s="21">
        <f t="shared" si="30"/>
        <v>13.196899999999999</v>
      </c>
      <c r="P452" s="21">
        <f t="shared" si="31"/>
        <v>-13.196899999999999</v>
      </c>
    </row>
    <row r="453" spans="1:16" ht="15" customHeight="1" x14ac:dyDescent="0.3">
      <c r="A453" s="7" t="s">
        <v>447</v>
      </c>
      <c r="B453" s="7" t="s">
        <v>581</v>
      </c>
      <c r="C453" s="3" t="s">
        <v>708</v>
      </c>
      <c r="D453" s="8" t="s">
        <v>1</v>
      </c>
      <c r="E453" s="8" t="s">
        <v>12</v>
      </c>
      <c r="F453" s="6">
        <v>12</v>
      </c>
      <c r="G453" s="2">
        <v>0</v>
      </c>
      <c r="H453" s="2">
        <v>0.5504</v>
      </c>
      <c r="I453" s="2">
        <v>0.74670000000000003</v>
      </c>
      <c r="J453" s="2">
        <v>0</v>
      </c>
      <c r="K453" s="2">
        <v>6.7556000000000003</v>
      </c>
      <c r="L453" s="2">
        <v>9.0073000000000008</v>
      </c>
      <c r="M453" s="20" t="str">
        <f t="shared" si="28"/>
        <v>0.00</v>
      </c>
      <c r="N453" s="21">
        <f t="shared" si="29"/>
        <v>-0.5504</v>
      </c>
      <c r="O453" s="21">
        <f t="shared" si="30"/>
        <v>-2.2517000000000005</v>
      </c>
      <c r="P453" s="21">
        <f t="shared" si="31"/>
        <v>-6.7556000000000003</v>
      </c>
    </row>
    <row r="454" spans="1:16" ht="15" customHeight="1" x14ac:dyDescent="0.3">
      <c r="A454" s="7" t="s">
        <v>448</v>
      </c>
      <c r="B454" s="7" t="s">
        <v>581</v>
      </c>
      <c r="C454" s="3" t="s">
        <v>708</v>
      </c>
      <c r="D454" s="8" t="s">
        <v>1</v>
      </c>
      <c r="E454" s="8" t="s">
        <v>12</v>
      </c>
      <c r="F454" s="6">
        <v>20</v>
      </c>
      <c r="G454" s="2">
        <v>4.7511999999999999</v>
      </c>
      <c r="H454" s="2">
        <v>3.7549000000000001</v>
      </c>
      <c r="I454" s="2">
        <v>1.1405000000000001</v>
      </c>
      <c r="J454" s="2">
        <v>70.328999999999994</v>
      </c>
      <c r="K454" s="2">
        <v>55.465600000000002</v>
      </c>
      <c r="L454" s="2">
        <v>16.475899999999999</v>
      </c>
      <c r="M454" s="20" t="str">
        <f t="shared" si="28"/>
        <v>-20.97</v>
      </c>
      <c r="N454" s="21">
        <f t="shared" si="29"/>
        <v>0.99629999999999974</v>
      </c>
      <c r="O454" s="21">
        <f t="shared" si="30"/>
        <v>38.989699999999999</v>
      </c>
      <c r="P454" s="21">
        <f t="shared" si="31"/>
        <v>14.863399999999992</v>
      </c>
    </row>
    <row r="455" spans="1:16" ht="15" customHeight="1" x14ac:dyDescent="0.3">
      <c r="A455" s="7" t="s">
        <v>449</v>
      </c>
      <c r="B455" s="7" t="s">
        <v>581</v>
      </c>
      <c r="C455" s="3" t="s">
        <v>708</v>
      </c>
      <c r="D455" s="8" t="s">
        <v>1</v>
      </c>
      <c r="E455" s="8" t="s">
        <v>2</v>
      </c>
      <c r="F455" s="6">
        <v>20</v>
      </c>
      <c r="G455" s="2">
        <v>1.23E-2</v>
      </c>
      <c r="H455" s="2">
        <v>2.7799999999999998E-2</v>
      </c>
      <c r="I455" s="2">
        <v>0</v>
      </c>
      <c r="J455" s="2">
        <v>0.18</v>
      </c>
      <c r="K455" s="2">
        <v>0.46179999999999999</v>
      </c>
      <c r="L455" s="2">
        <v>0</v>
      </c>
      <c r="M455" s="20" t="str">
        <f t="shared" si="28"/>
        <v>126.02</v>
      </c>
      <c r="N455" s="21">
        <f t="shared" si="29"/>
        <v>-1.5499999999999998E-2</v>
      </c>
      <c r="O455" s="21">
        <f t="shared" si="30"/>
        <v>0.46179999999999999</v>
      </c>
      <c r="P455" s="21">
        <f t="shared" si="31"/>
        <v>-0.28179999999999999</v>
      </c>
    </row>
    <row r="456" spans="1:16" ht="15" customHeight="1" x14ac:dyDescent="0.3">
      <c r="A456" s="7" t="s">
        <v>450</v>
      </c>
      <c r="B456" s="7" t="s">
        <v>581</v>
      </c>
      <c r="C456" s="3" t="s">
        <v>708</v>
      </c>
      <c r="D456" s="8" t="s">
        <v>1</v>
      </c>
      <c r="E456" s="8" t="s">
        <v>41</v>
      </c>
      <c r="F456" s="6">
        <v>20</v>
      </c>
      <c r="G456" s="2">
        <v>11.1968</v>
      </c>
      <c r="H456" s="2">
        <v>6.3734000000000002</v>
      </c>
      <c r="I456" s="2">
        <v>1.3038000000000001</v>
      </c>
      <c r="J456" s="2">
        <v>170.3914</v>
      </c>
      <c r="K456" s="2">
        <v>94.576999999999998</v>
      </c>
      <c r="L456" s="2">
        <v>19.252400000000002</v>
      </c>
      <c r="M456" s="20" t="str">
        <f t="shared" si="28"/>
        <v>-43.08</v>
      </c>
      <c r="N456" s="21">
        <f t="shared" si="29"/>
        <v>4.8233999999999995</v>
      </c>
      <c r="O456" s="21">
        <f t="shared" si="30"/>
        <v>75.324600000000004</v>
      </c>
      <c r="P456" s="21">
        <f t="shared" si="31"/>
        <v>75.814400000000006</v>
      </c>
    </row>
    <row r="457" spans="1:16" ht="15" customHeight="1" x14ac:dyDescent="0.3">
      <c r="A457" s="7" t="s">
        <v>451</v>
      </c>
      <c r="B457" s="7" t="s">
        <v>581</v>
      </c>
      <c r="C457" s="3" t="s">
        <v>708</v>
      </c>
      <c r="D457" s="8" t="s">
        <v>1</v>
      </c>
      <c r="E457" s="8" t="s">
        <v>41</v>
      </c>
      <c r="F457" s="6">
        <v>54</v>
      </c>
      <c r="G457" s="2">
        <v>0</v>
      </c>
      <c r="H457" s="2">
        <v>0.89970000000000006</v>
      </c>
      <c r="I457" s="2">
        <v>2.4813999999999998</v>
      </c>
      <c r="J457" s="2">
        <v>0</v>
      </c>
      <c r="K457" s="2">
        <v>21.057300000000001</v>
      </c>
      <c r="L457" s="2">
        <v>55.505499999999998</v>
      </c>
      <c r="M457" s="20" t="str">
        <f t="shared" si="28"/>
        <v>0.00</v>
      </c>
      <c r="N457" s="21">
        <f t="shared" si="29"/>
        <v>-0.89970000000000006</v>
      </c>
      <c r="O457" s="21">
        <f t="shared" si="30"/>
        <v>-34.4482</v>
      </c>
      <c r="P457" s="21">
        <f t="shared" si="31"/>
        <v>-21.057300000000001</v>
      </c>
    </row>
    <row r="458" spans="1:16" ht="15" customHeight="1" x14ac:dyDescent="0.3">
      <c r="A458" s="7" t="s">
        <v>452</v>
      </c>
      <c r="B458" s="7" t="s">
        <v>581</v>
      </c>
      <c r="C458" s="3" t="s">
        <v>708</v>
      </c>
      <c r="D458" s="8" t="s">
        <v>1</v>
      </c>
      <c r="E458" s="8" t="s">
        <v>12</v>
      </c>
      <c r="F458" s="6">
        <v>57</v>
      </c>
      <c r="G458" s="2">
        <v>2.3999999999999998E-3</v>
      </c>
      <c r="H458" s="2">
        <v>0</v>
      </c>
      <c r="I458" s="2">
        <v>0</v>
      </c>
      <c r="J458" s="2">
        <v>5.7000000000000002E-2</v>
      </c>
      <c r="K458" s="2">
        <v>0</v>
      </c>
      <c r="L458" s="2">
        <v>0</v>
      </c>
      <c r="M458" s="20" t="str">
        <f t="shared" si="28"/>
        <v>0.00</v>
      </c>
      <c r="N458" s="21">
        <f t="shared" si="29"/>
        <v>2.3999999999999998E-3</v>
      </c>
      <c r="O458" s="21">
        <f t="shared" si="30"/>
        <v>0</v>
      </c>
      <c r="P458" s="21">
        <f t="shared" si="31"/>
        <v>5.7000000000000002E-2</v>
      </c>
    </row>
    <row r="459" spans="1:16" ht="15" customHeight="1" x14ac:dyDescent="0.3">
      <c r="A459" s="7" t="s">
        <v>453</v>
      </c>
      <c r="B459" s="7" t="s">
        <v>581</v>
      </c>
      <c r="C459" s="3" t="s">
        <v>708</v>
      </c>
      <c r="D459" s="8" t="s">
        <v>1</v>
      </c>
      <c r="E459" s="8" t="s">
        <v>2</v>
      </c>
      <c r="F459" s="6">
        <v>64</v>
      </c>
      <c r="G459" s="2">
        <v>0.22650000000000001</v>
      </c>
      <c r="H459" s="2">
        <v>0</v>
      </c>
      <c r="I459" s="2">
        <v>0</v>
      </c>
      <c r="J459" s="2">
        <v>7.2465999999999999</v>
      </c>
      <c r="K459" s="2">
        <v>0</v>
      </c>
      <c r="L459" s="2">
        <v>0</v>
      </c>
      <c r="M459" s="20" t="str">
        <f t="shared" si="28"/>
        <v>0.00</v>
      </c>
      <c r="N459" s="21">
        <f t="shared" si="29"/>
        <v>0.22650000000000001</v>
      </c>
      <c r="O459" s="21">
        <f t="shared" si="30"/>
        <v>0</v>
      </c>
      <c r="P459" s="21">
        <f t="shared" si="31"/>
        <v>7.2465999999999999</v>
      </c>
    </row>
    <row r="460" spans="1:16" ht="15" customHeight="1" x14ac:dyDescent="0.3">
      <c r="A460" s="7" t="s">
        <v>454</v>
      </c>
      <c r="B460" s="7" t="s">
        <v>581</v>
      </c>
      <c r="C460" s="3" t="s">
        <v>708</v>
      </c>
      <c r="D460" s="8" t="s">
        <v>1</v>
      </c>
      <c r="E460" s="8" t="s">
        <v>5</v>
      </c>
      <c r="F460" s="6">
        <v>64</v>
      </c>
      <c r="G460" s="2">
        <v>0.74809999999999999</v>
      </c>
      <c r="H460" s="2">
        <v>0</v>
      </c>
      <c r="I460" s="2">
        <v>0</v>
      </c>
      <c r="J460" s="2">
        <v>25.650500000000001</v>
      </c>
      <c r="K460" s="2">
        <v>0</v>
      </c>
      <c r="L460" s="2">
        <v>0</v>
      </c>
      <c r="M460" s="20" t="str">
        <f t="shared" si="28"/>
        <v>0.00</v>
      </c>
      <c r="N460" s="21">
        <f t="shared" si="29"/>
        <v>0.74809999999999999</v>
      </c>
      <c r="O460" s="21">
        <f t="shared" si="30"/>
        <v>0</v>
      </c>
      <c r="P460" s="21">
        <f t="shared" si="31"/>
        <v>25.650500000000001</v>
      </c>
    </row>
    <row r="461" spans="1:16" ht="15" customHeight="1" x14ac:dyDescent="0.3">
      <c r="A461" s="7" t="s">
        <v>455</v>
      </c>
      <c r="B461" s="7" t="s">
        <v>581</v>
      </c>
      <c r="C461" s="3" t="s">
        <v>708</v>
      </c>
      <c r="D461" s="8" t="s">
        <v>1</v>
      </c>
      <c r="E461" s="8" t="s">
        <v>5</v>
      </c>
      <c r="F461" s="6">
        <v>64</v>
      </c>
      <c r="G461" s="2">
        <v>7.1352000000000002</v>
      </c>
      <c r="H461" s="2">
        <v>0.98229999999999995</v>
      </c>
      <c r="I461" s="2">
        <v>0.17499999999999999</v>
      </c>
      <c r="J461" s="2">
        <v>199.79089999999999</v>
      </c>
      <c r="K461" s="2">
        <v>31.398199999999999</v>
      </c>
      <c r="L461" s="2">
        <v>5.5553999999999997</v>
      </c>
      <c r="M461" s="20" t="str">
        <f t="shared" si="28"/>
        <v>-86.23</v>
      </c>
      <c r="N461" s="21">
        <f t="shared" si="29"/>
        <v>6.1529000000000007</v>
      </c>
      <c r="O461" s="21">
        <f t="shared" si="30"/>
        <v>25.8428</v>
      </c>
      <c r="P461" s="21">
        <f t="shared" si="31"/>
        <v>168.39269999999999</v>
      </c>
    </row>
    <row r="462" spans="1:16" ht="15" customHeight="1" x14ac:dyDescent="0.3">
      <c r="A462" s="7" t="s">
        <v>456</v>
      </c>
      <c r="B462" s="7" t="s">
        <v>581</v>
      </c>
      <c r="C462" s="3" t="s">
        <v>708</v>
      </c>
      <c r="D462" s="8" t="s">
        <v>1</v>
      </c>
      <c r="E462" s="8" t="s">
        <v>5</v>
      </c>
      <c r="F462" s="6">
        <v>64</v>
      </c>
      <c r="G462" s="2">
        <v>38.636499999999998</v>
      </c>
      <c r="H462" s="2">
        <v>25.403500000000001</v>
      </c>
      <c r="I462" s="2">
        <v>9.4920000000000009</v>
      </c>
      <c r="J462" s="2">
        <v>1064.7156</v>
      </c>
      <c r="K462" s="2">
        <v>712.85350000000005</v>
      </c>
      <c r="L462" s="2">
        <v>244.268</v>
      </c>
      <c r="M462" s="20" t="str">
        <f t="shared" si="28"/>
        <v>-34.25</v>
      </c>
      <c r="N462" s="21">
        <f t="shared" si="29"/>
        <v>13.232999999999997</v>
      </c>
      <c r="O462" s="21">
        <f t="shared" si="30"/>
        <v>468.58550000000002</v>
      </c>
      <c r="P462" s="21">
        <f t="shared" si="31"/>
        <v>351.86209999999994</v>
      </c>
    </row>
    <row r="463" spans="1:16" ht="15" customHeight="1" x14ac:dyDescent="0.3">
      <c r="A463" s="7" t="s">
        <v>457</v>
      </c>
      <c r="B463" s="7" t="s">
        <v>581</v>
      </c>
      <c r="C463" s="3" t="s">
        <v>708</v>
      </c>
      <c r="D463" s="8" t="s">
        <v>1</v>
      </c>
      <c r="E463" s="8" t="s">
        <v>41</v>
      </c>
      <c r="F463" s="6">
        <v>64</v>
      </c>
      <c r="G463" s="2">
        <v>3.0739999999999998</v>
      </c>
      <c r="H463" s="2">
        <v>0.314</v>
      </c>
      <c r="I463" s="2">
        <v>6.4199999999999993E-2</v>
      </c>
      <c r="J463" s="2">
        <v>79.571700000000007</v>
      </c>
      <c r="K463" s="2">
        <v>7.3994999999999997</v>
      </c>
      <c r="L463" s="2">
        <v>1.5809</v>
      </c>
      <c r="M463" s="20" t="str">
        <f t="shared" si="28"/>
        <v>-89.79</v>
      </c>
      <c r="N463" s="21">
        <f t="shared" si="29"/>
        <v>2.76</v>
      </c>
      <c r="O463" s="21">
        <f t="shared" si="30"/>
        <v>5.8186</v>
      </c>
      <c r="P463" s="21">
        <f t="shared" si="31"/>
        <v>72.172200000000004</v>
      </c>
    </row>
    <row r="464" spans="1:16" ht="15" customHeight="1" x14ac:dyDescent="0.3">
      <c r="A464" s="7" t="s">
        <v>458</v>
      </c>
      <c r="B464" s="7" t="s">
        <v>581</v>
      </c>
      <c r="C464" s="3" t="s">
        <v>708</v>
      </c>
      <c r="D464" s="8" t="s">
        <v>1</v>
      </c>
      <c r="E464" s="8" t="s">
        <v>41</v>
      </c>
      <c r="F464" s="6">
        <v>64</v>
      </c>
      <c r="G464" s="2">
        <v>57.373899999999999</v>
      </c>
      <c r="H464" s="2">
        <v>28.978999999999999</v>
      </c>
      <c r="I464" s="2">
        <v>4.5244999999999997</v>
      </c>
      <c r="J464" s="2">
        <v>1605.2121</v>
      </c>
      <c r="K464" s="2">
        <v>798.29169999999999</v>
      </c>
      <c r="L464" s="2">
        <v>128.11799999999999</v>
      </c>
      <c r="M464" s="20" t="str">
        <f t="shared" si="28"/>
        <v>-49.49</v>
      </c>
      <c r="N464" s="21">
        <f t="shared" si="29"/>
        <v>28.3949</v>
      </c>
      <c r="O464" s="21">
        <f t="shared" si="30"/>
        <v>670.17370000000005</v>
      </c>
      <c r="P464" s="21">
        <f t="shared" si="31"/>
        <v>806.92039999999997</v>
      </c>
    </row>
    <row r="465" spans="1:16" ht="15" customHeight="1" x14ac:dyDescent="0.3">
      <c r="A465" s="7" t="s">
        <v>459</v>
      </c>
      <c r="B465" s="7" t="s">
        <v>581</v>
      </c>
      <c r="C465" s="3" t="s">
        <v>708</v>
      </c>
      <c r="D465" s="8" t="s">
        <v>1</v>
      </c>
      <c r="E465" s="8" t="s">
        <v>12</v>
      </c>
      <c r="F465" s="6">
        <v>72</v>
      </c>
      <c r="G465" s="2">
        <v>0.84319999999999995</v>
      </c>
      <c r="H465" s="2">
        <v>0</v>
      </c>
      <c r="I465" s="2">
        <v>0</v>
      </c>
      <c r="J465" s="2">
        <v>38.896500000000003</v>
      </c>
      <c r="K465" s="2">
        <v>0</v>
      </c>
      <c r="L465" s="2">
        <v>0</v>
      </c>
      <c r="M465" s="20" t="str">
        <f t="shared" si="28"/>
        <v>0.00</v>
      </c>
      <c r="N465" s="21">
        <f t="shared" si="29"/>
        <v>0.84319999999999995</v>
      </c>
      <c r="O465" s="21">
        <f t="shared" si="30"/>
        <v>0</v>
      </c>
      <c r="P465" s="21">
        <f t="shared" si="31"/>
        <v>38.896500000000003</v>
      </c>
    </row>
    <row r="466" spans="1:16" ht="15" customHeight="1" x14ac:dyDescent="0.3">
      <c r="A466" s="7" t="s">
        <v>460</v>
      </c>
      <c r="B466" s="7" t="s">
        <v>581</v>
      </c>
      <c r="C466" s="3" t="s">
        <v>708</v>
      </c>
      <c r="D466" s="8" t="s">
        <v>1</v>
      </c>
      <c r="E466" s="8" t="s">
        <v>12</v>
      </c>
      <c r="F466" s="6">
        <v>75</v>
      </c>
      <c r="G466" s="2">
        <v>0.32700000000000001</v>
      </c>
      <c r="H466" s="2">
        <v>7.9399999999999998E-2</v>
      </c>
      <c r="I466" s="2">
        <v>0</v>
      </c>
      <c r="J466" s="2">
        <v>8.1380999999999997</v>
      </c>
      <c r="K466" s="2">
        <v>2.0009000000000001</v>
      </c>
      <c r="L466" s="2">
        <v>0</v>
      </c>
      <c r="M466" s="20" t="str">
        <f t="shared" si="28"/>
        <v>-75.72</v>
      </c>
      <c r="N466" s="21">
        <f t="shared" si="29"/>
        <v>0.24760000000000001</v>
      </c>
      <c r="O466" s="21">
        <f t="shared" si="30"/>
        <v>2.0009000000000001</v>
      </c>
      <c r="P466" s="21">
        <f t="shared" si="31"/>
        <v>6.1372</v>
      </c>
    </row>
    <row r="467" spans="1:16" ht="15" customHeight="1" x14ac:dyDescent="0.3">
      <c r="A467" s="7" t="s">
        <v>461</v>
      </c>
      <c r="B467" s="7" t="s">
        <v>581</v>
      </c>
      <c r="C467" s="3" t="s">
        <v>708</v>
      </c>
      <c r="D467" s="8" t="s">
        <v>1</v>
      </c>
      <c r="E467" s="8" t="s">
        <v>12</v>
      </c>
      <c r="F467" s="6">
        <v>80</v>
      </c>
      <c r="G467" s="2">
        <v>30.607399999999998</v>
      </c>
      <c r="H467" s="2">
        <v>87.617999999999995</v>
      </c>
      <c r="I467" s="2">
        <v>25.586099999999998</v>
      </c>
      <c r="J467" s="2">
        <v>1468.2443000000001</v>
      </c>
      <c r="K467" s="2">
        <v>4062.0709999999999</v>
      </c>
      <c r="L467" s="2">
        <v>1119.9051999999999</v>
      </c>
      <c r="M467" s="20" t="str">
        <f t="shared" si="28"/>
        <v>186.26</v>
      </c>
      <c r="N467" s="21">
        <f t="shared" si="29"/>
        <v>-57.010599999999997</v>
      </c>
      <c r="O467" s="21">
        <f t="shared" si="30"/>
        <v>2942.1657999999998</v>
      </c>
      <c r="P467" s="21">
        <f t="shared" si="31"/>
        <v>-2593.8266999999996</v>
      </c>
    </row>
    <row r="468" spans="1:16" ht="15" customHeight="1" x14ac:dyDescent="0.3">
      <c r="A468" s="7" t="s">
        <v>462</v>
      </c>
      <c r="B468" s="7" t="s">
        <v>582</v>
      </c>
      <c r="C468" s="3" t="s">
        <v>709</v>
      </c>
      <c r="D468" s="8" t="s">
        <v>1</v>
      </c>
      <c r="E468" s="8" t="s">
        <v>5</v>
      </c>
      <c r="F468" s="6">
        <v>72</v>
      </c>
      <c r="G468" s="2">
        <v>0.26200000000000001</v>
      </c>
      <c r="H468" s="2">
        <v>0.1656</v>
      </c>
      <c r="I468" s="2">
        <v>0</v>
      </c>
      <c r="J468" s="2">
        <v>18.860299999999999</v>
      </c>
      <c r="K468" s="2">
        <v>11.920500000000001</v>
      </c>
      <c r="L468" s="2">
        <v>0</v>
      </c>
      <c r="M468" s="20" t="str">
        <f t="shared" si="28"/>
        <v>-36.79</v>
      </c>
      <c r="N468" s="21">
        <f t="shared" si="29"/>
        <v>9.6400000000000013E-2</v>
      </c>
      <c r="O468" s="21">
        <f t="shared" si="30"/>
        <v>11.920500000000001</v>
      </c>
      <c r="P468" s="21">
        <f t="shared" si="31"/>
        <v>6.9397999999999982</v>
      </c>
    </row>
    <row r="469" spans="1:16" ht="15" customHeight="1" x14ac:dyDescent="0.3">
      <c r="A469" s="7" t="s">
        <v>463</v>
      </c>
      <c r="B469" s="7" t="s">
        <v>582</v>
      </c>
      <c r="C469" s="3" t="s">
        <v>710</v>
      </c>
      <c r="D469" s="8" t="s">
        <v>1</v>
      </c>
      <c r="E469" s="8" t="s">
        <v>41</v>
      </c>
      <c r="F469" s="6">
        <v>120</v>
      </c>
      <c r="G469" s="2">
        <v>8.2482000000000006</v>
      </c>
      <c r="H469" s="2">
        <v>0.97330000000000005</v>
      </c>
      <c r="I469" s="2">
        <v>0</v>
      </c>
      <c r="J469" s="2">
        <v>505.78250000000003</v>
      </c>
      <c r="K469" s="2">
        <v>58.400799999999997</v>
      </c>
      <c r="L469" s="2">
        <v>0</v>
      </c>
      <c r="M469" s="20" t="str">
        <f t="shared" si="28"/>
        <v>-88.20</v>
      </c>
      <c r="N469" s="21">
        <f t="shared" si="29"/>
        <v>7.2749000000000006</v>
      </c>
      <c r="O469" s="21">
        <f t="shared" si="30"/>
        <v>58.400799999999997</v>
      </c>
      <c r="P469" s="21">
        <f t="shared" si="31"/>
        <v>447.38170000000002</v>
      </c>
    </row>
    <row r="470" spans="1:16" ht="15" customHeight="1" x14ac:dyDescent="0.3">
      <c r="A470" s="7" t="s">
        <v>464</v>
      </c>
      <c r="B470" s="7" t="s">
        <v>582</v>
      </c>
      <c r="C470" s="3" t="s">
        <v>711</v>
      </c>
      <c r="D470" s="8" t="s">
        <v>1</v>
      </c>
      <c r="E470" s="8" t="s">
        <v>12</v>
      </c>
      <c r="F470" s="6">
        <v>120</v>
      </c>
      <c r="G470" s="2">
        <v>5.7763</v>
      </c>
      <c r="H470" s="2">
        <v>9.2917000000000005</v>
      </c>
      <c r="I470" s="2">
        <v>0.95250000000000001</v>
      </c>
      <c r="J470" s="2">
        <v>311.05720000000002</v>
      </c>
      <c r="K470" s="2">
        <v>539.97619999999995</v>
      </c>
      <c r="L470" s="2">
        <v>61.781700000000001</v>
      </c>
      <c r="M470" s="20" t="str">
        <f t="shared" si="28"/>
        <v>60.86</v>
      </c>
      <c r="N470" s="21">
        <f t="shared" si="29"/>
        <v>-3.5154000000000005</v>
      </c>
      <c r="O470" s="21">
        <f t="shared" si="30"/>
        <v>478.19449999999995</v>
      </c>
      <c r="P470" s="21">
        <f t="shared" si="31"/>
        <v>-228.91899999999993</v>
      </c>
    </row>
    <row r="471" spans="1:16" ht="15" customHeight="1" x14ac:dyDescent="0.3">
      <c r="A471" s="7" t="s">
        <v>465</v>
      </c>
      <c r="B471" s="7" t="s">
        <v>582</v>
      </c>
      <c r="C471" s="3" t="s">
        <v>712</v>
      </c>
      <c r="D471" s="8" t="s">
        <v>1</v>
      </c>
      <c r="E471" s="8" t="s">
        <v>5</v>
      </c>
      <c r="F471" s="6">
        <v>100</v>
      </c>
      <c r="G471" s="2">
        <v>55.7286</v>
      </c>
      <c r="H471" s="2">
        <v>53.311300000000003</v>
      </c>
      <c r="I471" s="2">
        <v>19.850100000000001</v>
      </c>
      <c r="J471" s="2">
        <v>3644.6801999999998</v>
      </c>
      <c r="K471" s="2">
        <v>3675.9913999999999</v>
      </c>
      <c r="L471" s="2">
        <v>1253.7541000000001</v>
      </c>
      <c r="M471" s="20" t="str">
        <f t="shared" si="28"/>
        <v>-4.34</v>
      </c>
      <c r="N471" s="21">
        <f t="shared" si="29"/>
        <v>2.4172999999999973</v>
      </c>
      <c r="O471" s="21">
        <f t="shared" si="30"/>
        <v>2422.2372999999998</v>
      </c>
      <c r="P471" s="21">
        <f t="shared" si="31"/>
        <v>-31.311200000000099</v>
      </c>
    </row>
    <row r="472" spans="1:16" ht="15" customHeight="1" x14ac:dyDescent="0.3">
      <c r="A472" s="7" t="s">
        <v>466</v>
      </c>
      <c r="B472" s="7" t="s">
        <v>582</v>
      </c>
      <c r="C472" s="3" t="s">
        <v>712</v>
      </c>
      <c r="D472" s="8" t="s">
        <v>1</v>
      </c>
      <c r="E472" s="8" t="s">
        <v>12</v>
      </c>
      <c r="F472" s="6">
        <v>120</v>
      </c>
      <c r="G472" s="2">
        <v>0</v>
      </c>
      <c r="H472" s="2">
        <v>4.4955999999999996</v>
      </c>
      <c r="I472" s="2">
        <v>0</v>
      </c>
      <c r="J472" s="2">
        <v>0</v>
      </c>
      <c r="K472" s="2">
        <v>365.2654</v>
      </c>
      <c r="L472" s="2">
        <v>0</v>
      </c>
      <c r="M472" s="20" t="str">
        <f t="shared" si="28"/>
        <v>0.00</v>
      </c>
      <c r="N472" s="21">
        <f t="shared" si="29"/>
        <v>-4.4955999999999996</v>
      </c>
      <c r="O472" s="21">
        <f t="shared" si="30"/>
        <v>365.2654</v>
      </c>
      <c r="P472" s="21">
        <f t="shared" si="31"/>
        <v>-365.2654</v>
      </c>
    </row>
    <row r="473" spans="1:16" ht="15" customHeight="1" x14ac:dyDescent="0.3">
      <c r="A473" s="7" t="s">
        <v>467</v>
      </c>
      <c r="B473" s="7" t="s">
        <v>582</v>
      </c>
      <c r="C473" s="3" t="s">
        <v>712</v>
      </c>
      <c r="D473" s="8" t="s">
        <v>1</v>
      </c>
      <c r="E473" s="8" t="s">
        <v>5</v>
      </c>
      <c r="F473" s="6">
        <v>70</v>
      </c>
      <c r="G473" s="2">
        <v>5.5199999999999999E-2</v>
      </c>
      <c r="H473" s="2">
        <v>0</v>
      </c>
      <c r="I473" s="2">
        <v>0</v>
      </c>
      <c r="J473" s="2">
        <v>3.36</v>
      </c>
      <c r="K473" s="2">
        <v>0</v>
      </c>
      <c r="L473" s="2">
        <v>0</v>
      </c>
      <c r="M473" s="20" t="str">
        <f t="shared" si="28"/>
        <v>0.00</v>
      </c>
      <c r="N473" s="21">
        <f t="shared" si="29"/>
        <v>5.5199999999999999E-2</v>
      </c>
      <c r="O473" s="21">
        <f t="shared" si="30"/>
        <v>0</v>
      </c>
      <c r="P473" s="21">
        <f t="shared" si="31"/>
        <v>3.36</v>
      </c>
    </row>
    <row r="474" spans="1:16" ht="15" customHeight="1" x14ac:dyDescent="0.3">
      <c r="A474" s="7" t="s">
        <v>468</v>
      </c>
      <c r="B474" s="7" t="s">
        <v>582</v>
      </c>
      <c r="C474" s="3" t="s">
        <v>713</v>
      </c>
      <c r="D474" s="8" t="s">
        <v>1</v>
      </c>
      <c r="E474" s="8" t="s">
        <v>5</v>
      </c>
      <c r="F474" s="6">
        <v>120</v>
      </c>
      <c r="G474" s="2">
        <v>5.3959999999999999</v>
      </c>
      <c r="H474" s="2">
        <v>7.0095999999999998</v>
      </c>
      <c r="I474" s="2">
        <v>3.0608</v>
      </c>
      <c r="J474" s="2">
        <v>290.08819999999997</v>
      </c>
      <c r="K474" s="2">
        <v>393.84969999999998</v>
      </c>
      <c r="L474" s="2">
        <v>158.0343</v>
      </c>
      <c r="M474" s="20" t="str">
        <f t="shared" si="28"/>
        <v>29.90</v>
      </c>
      <c r="N474" s="21">
        <f t="shared" si="29"/>
        <v>-1.6135999999999999</v>
      </c>
      <c r="O474" s="21">
        <f t="shared" si="30"/>
        <v>235.81539999999998</v>
      </c>
      <c r="P474" s="21">
        <f t="shared" si="31"/>
        <v>-103.76150000000001</v>
      </c>
    </row>
    <row r="475" spans="1:16" ht="15" customHeight="1" x14ac:dyDescent="0.3">
      <c r="A475" s="7" t="s">
        <v>469</v>
      </c>
      <c r="B475" s="7" t="s">
        <v>582</v>
      </c>
      <c r="C475" s="3" t="s">
        <v>713</v>
      </c>
      <c r="D475" s="8" t="s">
        <v>1</v>
      </c>
      <c r="E475" s="8" t="s">
        <v>12</v>
      </c>
      <c r="F475" s="6">
        <v>130</v>
      </c>
      <c r="G475" s="2">
        <v>39.775100000000002</v>
      </c>
      <c r="H475" s="2">
        <v>29.160399999999999</v>
      </c>
      <c r="I475" s="2">
        <v>6.0876999999999999</v>
      </c>
      <c r="J475" s="2">
        <v>2342.4566</v>
      </c>
      <c r="K475" s="2">
        <v>1534.7882999999999</v>
      </c>
      <c r="L475" s="2">
        <v>287.5865</v>
      </c>
      <c r="M475" s="20" t="str">
        <f t="shared" si="28"/>
        <v>-26.69</v>
      </c>
      <c r="N475" s="21">
        <f t="shared" si="29"/>
        <v>10.614700000000003</v>
      </c>
      <c r="O475" s="21">
        <f t="shared" si="30"/>
        <v>1247.2017999999998</v>
      </c>
      <c r="P475" s="21">
        <f t="shared" si="31"/>
        <v>807.66830000000004</v>
      </c>
    </row>
    <row r="476" spans="1:16" ht="15" customHeight="1" x14ac:dyDescent="0.3">
      <c r="A476" s="7" t="s">
        <v>470</v>
      </c>
      <c r="B476" s="7" t="s">
        <v>582</v>
      </c>
      <c r="C476" s="3" t="s">
        <v>713</v>
      </c>
      <c r="D476" s="8" t="s">
        <v>1</v>
      </c>
      <c r="E476" s="8" t="s">
        <v>5</v>
      </c>
      <c r="F476" s="6">
        <v>72</v>
      </c>
      <c r="G476" s="2">
        <v>73.361099999999993</v>
      </c>
      <c r="H476" s="2">
        <v>57.603700000000003</v>
      </c>
      <c r="I476" s="2">
        <v>12.2355</v>
      </c>
      <c r="J476" s="2">
        <v>4307.2969000000003</v>
      </c>
      <c r="K476" s="2">
        <v>3235.6705999999999</v>
      </c>
      <c r="L476" s="2">
        <v>650.06870000000004</v>
      </c>
      <c r="M476" s="20" t="str">
        <f t="shared" si="28"/>
        <v>-21.48</v>
      </c>
      <c r="N476" s="21">
        <f t="shared" si="29"/>
        <v>15.75739999999999</v>
      </c>
      <c r="O476" s="21">
        <f t="shared" si="30"/>
        <v>2585.6018999999997</v>
      </c>
      <c r="P476" s="21">
        <f t="shared" si="31"/>
        <v>1071.6263000000004</v>
      </c>
    </row>
    <row r="477" spans="1:16" ht="15" customHeight="1" x14ac:dyDescent="0.3">
      <c r="A477" s="7" t="s">
        <v>471</v>
      </c>
      <c r="B477" s="7" t="s">
        <v>582</v>
      </c>
      <c r="C477" s="3" t="s">
        <v>713</v>
      </c>
      <c r="D477" s="8" t="s">
        <v>1</v>
      </c>
      <c r="E477" s="8" t="s">
        <v>5</v>
      </c>
      <c r="F477" s="6">
        <v>72</v>
      </c>
      <c r="G477" s="2">
        <v>7.6637000000000004</v>
      </c>
      <c r="H477" s="2">
        <v>5.7187999999999999</v>
      </c>
      <c r="I477" s="2">
        <v>3.4293999999999998</v>
      </c>
      <c r="J477" s="2">
        <v>412.75630000000001</v>
      </c>
      <c r="K477" s="2">
        <v>314.68810000000002</v>
      </c>
      <c r="L477" s="2">
        <v>185.42320000000001</v>
      </c>
      <c r="M477" s="20" t="str">
        <f t="shared" si="28"/>
        <v>-25.38</v>
      </c>
      <c r="N477" s="21">
        <f t="shared" si="29"/>
        <v>1.9449000000000005</v>
      </c>
      <c r="O477" s="21">
        <f t="shared" si="30"/>
        <v>129.26490000000001</v>
      </c>
      <c r="P477" s="21">
        <f t="shared" si="31"/>
        <v>98.06819999999999</v>
      </c>
    </row>
    <row r="478" spans="1:16" ht="15" customHeight="1" x14ac:dyDescent="0.3">
      <c r="A478" s="7" t="s">
        <v>472</v>
      </c>
      <c r="B478" s="7" t="s">
        <v>582</v>
      </c>
      <c r="C478" s="3" t="s">
        <v>713</v>
      </c>
      <c r="D478" s="8" t="s">
        <v>1</v>
      </c>
      <c r="E478" s="8" t="s">
        <v>5</v>
      </c>
      <c r="F478" s="6">
        <v>72</v>
      </c>
      <c r="G478" s="2">
        <v>97.800700000000006</v>
      </c>
      <c r="H478" s="2">
        <v>61.680799999999998</v>
      </c>
      <c r="I478" s="2">
        <v>23.825800000000001</v>
      </c>
      <c r="J478" s="2">
        <v>4426.3535000000002</v>
      </c>
      <c r="K478" s="2">
        <v>2861.6763999999998</v>
      </c>
      <c r="L478" s="2">
        <v>975.65369999999996</v>
      </c>
      <c r="M478" s="20" t="str">
        <f t="shared" si="28"/>
        <v>-36.93</v>
      </c>
      <c r="N478" s="21">
        <f t="shared" si="29"/>
        <v>36.119900000000008</v>
      </c>
      <c r="O478" s="21">
        <f t="shared" si="30"/>
        <v>1886.0227</v>
      </c>
      <c r="P478" s="21">
        <f t="shared" si="31"/>
        <v>1564.6771000000003</v>
      </c>
    </row>
    <row r="479" spans="1:16" ht="15" customHeight="1" x14ac:dyDescent="0.3">
      <c r="A479" s="7" t="s">
        <v>473</v>
      </c>
      <c r="B479" s="7" t="s">
        <v>582</v>
      </c>
      <c r="C479" s="3" t="s">
        <v>713</v>
      </c>
      <c r="D479" s="8" t="s">
        <v>1</v>
      </c>
      <c r="E479" s="8" t="s">
        <v>5</v>
      </c>
      <c r="F479" s="6">
        <v>80</v>
      </c>
      <c r="G479" s="2">
        <v>137.74010000000001</v>
      </c>
      <c r="H479" s="2">
        <v>71.2029</v>
      </c>
      <c r="I479" s="2">
        <v>36.735799999999998</v>
      </c>
      <c r="J479" s="2">
        <v>9592.0316999999995</v>
      </c>
      <c r="K479" s="2">
        <v>4713.7775000000001</v>
      </c>
      <c r="L479" s="2">
        <v>2155.8667</v>
      </c>
      <c r="M479" s="20" t="str">
        <f t="shared" si="28"/>
        <v>-48.31</v>
      </c>
      <c r="N479" s="21">
        <f t="shared" si="29"/>
        <v>66.537200000000013</v>
      </c>
      <c r="O479" s="21">
        <f t="shared" si="30"/>
        <v>2557.9108000000001</v>
      </c>
      <c r="P479" s="21">
        <f t="shared" si="31"/>
        <v>4878.2541999999994</v>
      </c>
    </row>
    <row r="480" spans="1:16" ht="15" customHeight="1" x14ac:dyDescent="0.3">
      <c r="A480" s="7" t="s">
        <v>474</v>
      </c>
      <c r="B480" s="7" t="s">
        <v>582</v>
      </c>
      <c r="C480" s="3" t="s">
        <v>713</v>
      </c>
      <c r="D480" s="8" t="s">
        <v>1</v>
      </c>
      <c r="E480" s="8" t="s">
        <v>12</v>
      </c>
      <c r="F480" s="6">
        <v>80</v>
      </c>
      <c r="G480" s="2">
        <v>34.508099999999999</v>
      </c>
      <c r="H480" s="2">
        <v>21.348800000000001</v>
      </c>
      <c r="I480" s="2">
        <v>13.753299999999999</v>
      </c>
      <c r="J480" s="2">
        <v>2073.3334</v>
      </c>
      <c r="K480" s="2">
        <v>1342.2397000000001</v>
      </c>
      <c r="L480" s="2">
        <v>736.28099999999995</v>
      </c>
      <c r="M480" s="20" t="str">
        <f t="shared" si="28"/>
        <v>-38.13</v>
      </c>
      <c r="N480" s="21">
        <f t="shared" si="29"/>
        <v>13.159299999999998</v>
      </c>
      <c r="O480" s="21">
        <f t="shared" si="30"/>
        <v>605.95870000000014</v>
      </c>
      <c r="P480" s="21">
        <f t="shared" si="31"/>
        <v>731.0936999999999</v>
      </c>
    </row>
    <row r="481" spans="1:16" ht="15" customHeight="1" x14ac:dyDescent="0.3">
      <c r="A481" s="7" t="s">
        <v>475</v>
      </c>
      <c r="B481" s="7" t="s">
        <v>582</v>
      </c>
      <c r="C481" s="3" t="s">
        <v>738</v>
      </c>
      <c r="D481" s="8" t="s">
        <v>1</v>
      </c>
      <c r="E481" s="8" t="s">
        <v>5</v>
      </c>
      <c r="F481" s="6">
        <v>72</v>
      </c>
      <c r="G481" s="2">
        <v>0</v>
      </c>
      <c r="H481" s="2">
        <v>3.1300000000000001E-2</v>
      </c>
      <c r="I481" s="2">
        <v>0</v>
      </c>
      <c r="J481" s="2">
        <v>0</v>
      </c>
      <c r="K481" s="2">
        <v>1.2579</v>
      </c>
      <c r="L481" s="2">
        <v>0</v>
      </c>
      <c r="M481" s="20" t="str">
        <f t="shared" si="28"/>
        <v>0.00</v>
      </c>
      <c r="N481" s="21">
        <f t="shared" si="29"/>
        <v>-3.1300000000000001E-2</v>
      </c>
      <c r="O481" s="21">
        <f t="shared" si="30"/>
        <v>1.2579</v>
      </c>
      <c r="P481" s="21">
        <f t="shared" si="31"/>
        <v>-1.2579</v>
      </c>
    </row>
    <row r="482" spans="1:16" ht="15" customHeight="1" x14ac:dyDescent="0.3">
      <c r="A482" s="7" t="s">
        <v>476</v>
      </c>
      <c r="B482" s="7" t="s">
        <v>583</v>
      </c>
      <c r="C482" s="3" t="s">
        <v>714</v>
      </c>
      <c r="D482" s="8" t="s">
        <v>1</v>
      </c>
      <c r="E482" s="8" t="s">
        <v>41</v>
      </c>
      <c r="F482" s="6">
        <v>60</v>
      </c>
      <c r="G482" s="2">
        <v>7.7399999999999997E-2</v>
      </c>
      <c r="H482" s="2">
        <v>0.20100000000000001</v>
      </c>
      <c r="I482" s="2">
        <v>1.1599999999999999E-2</v>
      </c>
      <c r="J482" s="2">
        <v>1.2943</v>
      </c>
      <c r="K482" s="2">
        <v>3.8485999999999998</v>
      </c>
      <c r="L482" s="2">
        <v>0.1971</v>
      </c>
      <c r="M482" s="20" t="str">
        <f t="shared" si="28"/>
        <v>159.69</v>
      </c>
      <c r="N482" s="21">
        <f t="shared" si="29"/>
        <v>-0.12360000000000002</v>
      </c>
      <c r="O482" s="21">
        <f t="shared" si="30"/>
        <v>3.6515</v>
      </c>
      <c r="P482" s="21">
        <f t="shared" si="31"/>
        <v>-2.5542999999999996</v>
      </c>
    </row>
    <row r="483" spans="1:16" ht="15" customHeight="1" x14ac:dyDescent="0.3">
      <c r="A483" s="7" t="s">
        <v>477</v>
      </c>
      <c r="B483" s="7" t="s">
        <v>583</v>
      </c>
      <c r="C483" s="3" t="s">
        <v>714</v>
      </c>
      <c r="D483" s="8" t="s">
        <v>1</v>
      </c>
      <c r="E483" s="8" t="s">
        <v>5</v>
      </c>
      <c r="F483" s="6">
        <v>72</v>
      </c>
      <c r="G483" s="2">
        <v>6.8400000000000002E-2</v>
      </c>
      <c r="H483" s="2">
        <v>9.8500000000000004E-2</v>
      </c>
      <c r="I483" s="2">
        <v>3.8800000000000001E-2</v>
      </c>
      <c r="J483" s="2">
        <v>1.5943000000000001</v>
      </c>
      <c r="K483" s="2">
        <v>2.7256999999999998</v>
      </c>
      <c r="L483" s="2">
        <v>0.93600000000000005</v>
      </c>
      <c r="M483" s="20" t="str">
        <f t="shared" si="28"/>
        <v>44.01</v>
      </c>
      <c r="N483" s="21">
        <f t="shared" si="29"/>
        <v>-3.0100000000000002E-2</v>
      </c>
      <c r="O483" s="21">
        <f t="shared" si="30"/>
        <v>1.7896999999999998</v>
      </c>
      <c r="P483" s="21">
        <f t="shared" si="31"/>
        <v>-1.1313999999999997</v>
      </c>
    </row>
    <row r="484" spans="1:16" ht="15" customHeight="1" x14ac:dyDescent="0.3">
      <c r="A484" s="7" t="s">
        <v>478</v>
      </c>
      <c r="B484" s="7" t="s">
        <v>584</v>
      </c>
      <c r="C484" s="3" t="s">
        <v>715</v>
      </c>
      <c r="D484" s="8" t="s">
        <v>1</v>
      </c>
      <c r="E484" s="8" t="s">
        <v>5</v>
      </c>
      <c r="F484" s="6">
        <v>100</v>
      </c>
      <c r="G484" s="2">
        <v>1.2095</v>
      </c>
      <c r="H484" s="2">
        <v>0</v>
      </c>
      <c r="I484" s="2">
        <v>0</v>
      </c>
      <c r="J484" s="2">
        <v>58.601599999999998</v>
      </c>
      <c r="K484" s="2">
        <v>0</v>
      </c>
      <c r="L484" s="2">
        <v>0</v>
      </c>
      <c r="M484" s="20" t="str">
        <f t="shared" si="28"/>
        <v>0.00</v>
      </c>
      <c r="N484" s="21">
        <f t="shared" si="29"/>
        <v>1.2095</v>
      </c>
      <c r="O484" s="21">
        <f t="shared" si="30"/>
        <v>0</v>
      </c>
      <c r="P484" s="21">
        <f t="shared" si="31"/>
        <v>58.601599999999998</v>
      </c>
    </row>
    <row r="485" spans="1:16" ht="15" customHeight="1" x14ac:dyDescent="0.3">
      <c r="A485" s="7" t="s">
        <v>479</v>
      </c>
      <c r="B485" s="7" t="s">
        <v>584</v>
      </c>
      <c r="C485" s="3" t="s">
        <v>715</v>
      </c>
      <c r="D485" s="8" t="s">
        <v>1</v>
      </c>
      <c r="E485" s="8" t="s">
        <v>5</v>
      </c>
      <c r="F485" s="6">
        <v>120</v>
      </c>
      <c r="G485" s="2">
        <v>3.4049</v>
      </c>
      <c r="H485" s="2">
        <v>0</v>
      </c>
      <c r="I485" s="2">
        <v>0</v>
      </c>
      <c r="J485" s="2">
        <v>181.5942</v>
      </c>
      <c r="K485" s="2">
        <v>0</v>
      </c>
      <c r="L485" s="2">
        <v>0</v>
      </c>
      <c r="M485" s="20" t="str">
        <f t="shared" si="28"/>
        <v>0.00</v>
      </c>
      <c r="N485" s="21">
        <f t="shared" si="29"/>
        <v>3.4049</v>
      </c>
      <c r="O485" s="21">
        <f t="shared" si="30"/>
        <v>0</v>
      </c>
      <c r="P485" s="21">
        <f t="shared" si="31"/>
        <v>181.5942</v>
      </c>
    </row>
    <row r="486" spans="1:16" ht="15" customHeight="1" x14ac:dyDescent="0.3">
      <c r="A486" s="7" t="s">
        <v>480</v>
      </c>
      <c r="B486" s="7" t="s">
        <v>584</v>
      </c>
      <c r="C486" s="3" t="s">
        <v>715</v>
      </c>
      <c r="D486" s="8" t="s">
        <v>1</v>
      </c>
      <c r="E486" s="8" t="s">
        <v>5</v>
      </c>
      <c r="F486" s="6">
        <v>72</v>
      </c>
      <c r="G486" s="2">
        <v>0.27539999999999998</v>
      </c>
      <c r="H486" s="2">
        <v>0</v>
      </c>
      <c r="I486" s="2">
        <v>0</v>
      </c>
      <c r="J486" s="2">
        <v>11.6632</v>
      </c>
      <c r="K486" s="2">
        <v>0</v>
      </c>
      <c r="L486" s="2">
        <v>0</v>
      </c>
      <c r="M486" s="20" t="str">
        <f t="shared" si="28"/>
        <v>0.00</v>
      </c>
      <c r="N486" s="21">
        <f t="shared" si="29"/>
        <v>0.27539999999999998</v>
      </c>
      <c r="O486" s="21">
        <f t="shared" si="30"/>
        <v>0</v>
      </c>
      <c r="P486" s="21">
        <f t="shared" si="31"/>
        <v>11.6632</v>
      </c>
    </row>
    <row r="487" spans="1:16" ht="15" customHeight="1" x14ac:dyDescent="0.3">
      <c r="A487" s="7" t="s">
        <v>481</v>
      </c>
      <c r="B487" s="7" t="s">
        <v>584</v>
      </c>
      <c r="C487" s="3" t="s">
        <v>715</v>
      </c>
      <c r="D487" s="8" t="s">
        <v>1</v>
      </c>
      <c r="E487" s="8" t="s">
        <v>5</v>
      </c>
      <c r="F487" s="6">
        <v>72</v>
      </c>
      <c r="G487" s="2">
        <v>0.36249999999999999</v>
      </c>
      <c r="H487" s="2">
        <v>0</v>
      </c>
      <c r="I487" s="2">
        <v>0</v>
      </c>
      <c r="J487" s="2">
        <v>17.400500000000001</v>
      </c>
      <c r="K487" s="2">
        <v>0</v>
      </c>
      <c r="L487" s="2">
        <v>0</v>
      </c>
      <c r="M487" s="20" t="str">
        <f t="shared" si="28"/>
        <v>0.00</v>
      </c>
      <c r="N487" s="21">
        <f t="shared" si="29"/>
        <v>0.36249999999999999</v>
      </c>
      <c r="O487" s="21">
        <f t="shared" si="30"/>
        <v>0</v>
      </c>
      <c r="P487" s="21">
        <f t="shared" si="31"/>
        <v>17.400500000000001</v>
      </c>
    </row>
    <row r="488" spans="1:16" ht="15" customHeight="1" x14ac:dyDescent="0.3">
      <c r="A488" s="7" t="s">
        <v>600</v>
      </c>
      <c r="B488" s="7" t="s">
        <v>585</v>
      </c>
      <c r="C488" s="3" t="s">
        <v>716</v>
      </c>
      <c r="D488" s="8" t="s">
        <v>1</v>
      </c>
      <c r="E488" s="8" t="s">
        <v>5</v>
      </c>
      <c r="F488" s="6">
        <v>120</v>
      </c>
      <c r="G488" s="2">
        <v>0</v>
      </c>
      <c r="H488" s="2">
        <v>0</v>
      </c>
      <c r="I488" s="2">
        <v>3.1633</v>
      </c>
      <c r="J488" s="2">
        <v>0</v>
      </c>
      <c r="K488" s="2">
        <v>0</v>
      </c>
      <c r="L488" s="2">
        <v>171.71680000000001</v>
      </c>
      <c r="M488" s="20" t="str">
        <f t="shared" si="28"/>
        <v>0.00</v>
      </c>
      <c r="N488" s="21">
        <f t="shared" si="29"/>
        <v>0</v>
      </c>
      <c r="O488" s="21">
        <f t="shared" si="30"/>
        <v>-171.71680000000001</v>
      </c>
      <c r="P488" s="21">
        <f t="shared" si="31"/>
        <v>0</v>
      </c>
    </row>
    <row r="489" spans="1:16" ht="15" customHeight="1" x14ac:dyDescent="0.3">
      <c r="A489" s="7" t="s">
        <v>482</v>
      </c>
      <c r="B489" s="7" t="s">
        <v>586</v>
      </c>
      <c r="C489" s="3" t="s">
        <v>717</v>
      </c>
      <c r="D489" s="8" t="s">
        <v>1</v>
      </c>
      <c r="E489" s="8" t="s">
        <v>5</v>
      </c>
      <c r="F489" s="6">
        <v>120</v>
      </c>
      <c r="G489" s="2">
        <v>0</v>
      </c>
      <c r="H489" s="2">
        <v>10.313499999999999</v>
      </c>
      <c r="I489" s="2">
        <v>10.635400000000001</v>
      </c>
      <c r="J489" s="2">
        <v>0</v>
      </c>
      <c r="K489" s="2">
        <v>475.9119</v>
      </c>
      <c r="L489" s="2">
        <v>461.80500000000001</v>
      </c>
      <c r="M489" s="20" t="str">
        <f t="shared" si="28"/>
        <v>0.00</v>
      </c>
      <c r="N489" s="21">
        <f t="shared" si="29"/>
        <v>-10.313499999999999</v>
      </c>
      <c r="O489" s="21">
        <f t="shared" si="30"/>
        <v>14.106899999999996</v>
      </c>
      <c r="P489" s="21">
        <f t="shared" si="31"/>
        <v>-475.9119</v>
      </c>
    </row>
    <row r="490" spans="1:16" ht="15" customHeight="1" x14ac:dyDescent="0.3">
      <c r="A490" s="7" t="s">
        <v>483</v>
      </c>
      <c r="B490" s="7" t="s">
        <v>586</v>
      </c>
      <c r="C490" s="3" t="s">
        <v>717</v>
      </c>
      <c r="D490" s="8" t="s">
        <v>1</v>
      </c>
      <c r="E490" s="8" t="s">
        <v>5</v>
      </c>
      <c r="F490" s="6">
        <v>72</v>
      </c>
      <c r="G490" s="2">
        <v>54.988799999999998</v>
      </c>
      <c r="H490" s="2">
        <v>32.909799999999997</v>
      </c>
      <c r="I490" s="2">
        <v>13.822900000000001</v>
      </c>
      <c r="J490" s="2">
        <v>1994.8981000000001</v>
      </c>
      <c r="K490" s="2">
        <v>1164.6792</v>
      </c>
      <c r="L490" s="2">
        <v>463.84859999999998</v>
      </c>
      <c r="M490" s="20" t="str">
        <f t="shared" si="28"/>
        <v>-40.15</v>
      </c>
      <c r="N490" s="21">
        <f t="shared" si="29"/>
        <v>22.079000000000001</v>
      </c>
      <c r="O490" s="21">
        <f t="shared" si="30"/>
        <v>700.8306</v>
      </c>
      <c r="P490" s="21">
        <f t="shared" si="31"/>
        <v>830.21890000000008</v>
      </c>
    </row>
    <row r="491" spans="1:16" ht="15" customHeight="1" x14ac:dyDescent="0.3">
      <c r="A491" s="7" t="s">
        <v>484</v>
      </c>
      <c r="B491" s="7" t="s">
        <v>586</v>
      </c>
      <c r="C491" s="3" t="s">
        <v>718</v>
      </c>
      <c r="D491" s="8" t="s">
        <v>1</v>
      </c>
      <c r="E491" s="8" t="s">
        <v>5</v>
      </c>
      <c r="F491" s="6">
        <v>72</v>
      </c>
      <c r="G491" s="2">
        <v>0.1076</v>
      </c>
      <c r="H491" s="2">
        <v>0.1249</v>
      </c>
      <c r="I491" s="2">
        <v>7.1900000000000006E-2</v>
      </c>
      <c r="J491" s="2">
        <v>5.5374999999999996</v>
      </c>
      <c r="K491" s="2">
        <v>6.4203000000000001</v>
      </c>
      <c r="L491" s="2">
        <v>3.698</v>
      </c>
      <c r="M491" s="20" t="str">
        <f t="shared" si="28"/>
        <v>16.08</v>
      </c>
      <c r="N491" s="21">
        <f t="shared" si="29"/>
        <v>-1.7299999999999996E-2</v>
      </c>
      <c r="O491" s="21">
        <f t="shared" si="30"/>
        <v>2.7223000000000002</v>
      </c>
      <c r="P491" s="21">
        <f t="shared" si="31"/>
        <v>-0.88280000000000047</v>
      </c>
    </row>
    <row r="492" spans="1:16" ht="15" customHeight="1" x14ac:dyDescent="0.3">
      <c r="A492" s="7" t="s">
        <v>485</v>
      </c>
      <c r="B492" s="7" t="s">
        <v>587</v>
      </c>
      <c r="C492" s="3" t="s">
        <v>737</v>
      </c>
      <c r="D492" s="8" t="s">
        <v>1</v>
      </c>
      <c r="E492" s="8" t="s">
        <v>12</v>
      </c>
      <c r="F492" s="6">
        <v>60</v>
      </c>
      <c r="G492" s="2">
        <v>0.30349999999999999</v>
      </c>
      <c r="H492" s="2">
        <v>7.7100000000000002E-2</v>
      </c>
      <c r="I492" s="2">
        <v>0</v>
      </c>
      <c r="J492" s="2">
        <v>10.7111</v>
      </c>
      <c r="K492" s="2">
        <v>2.9864999999999999</v>
      </c>
      <c r="L492" s="2">
        <v>0</v>
      </c>
      <c r="M492" s="20" t="str">
        <f t="shared" si="28"/>
        <v>-74.60</v>
      </c>
      <c r="N492" s="21">
        <f t="shared" si="29"/>
        <v>0.22639999999999999</v>
      </c>
      <c r="O492" s="21">
        <f t="shared" si="30"/>
        <v>2.9864999999999999</v>
      </c>
      <c r="P492" s="21">
        <f t="shared" si="31"/>
        <v>7.7246000000000006</v>
      </c>
    </row>
    <row r="493" spans="1:16" ht="15" customHeight="1" x14ac:dyDescent="0.3">
      <c r="A493" s="7" t="s">
        <v>486</v>
      </c>
      <c r="B493" s="7" t="s">
        <v>587</v>
      </c>
      <c r="C493" s="3" t="s">
        <v>737</v>
      </c>
      <c r="D493" s="8" t="s">
        <v>1</v>
      </c>
      <c r="E493" s="8" t="s">
        <v>12</v>
      </c>
      <c r="F493" s="6">
        <v>72</v>
      </c>
      <c r="G493" s="2">
        <v>34.620800000000003</v>
      </c>
      <c r="H493" s="2">
        <v>13.6218</v>
      </c>
      <c r="I493" s="2">
        <v>2.1793999999999998</v>
      </c>
      <c r="J493" s="2">
        <v>2351.0409</v>
      </c>
      <c r="K493" s="2">
        <v>917.37919999999997</v>
      </c>
      <c r="L493" s="2">
        <v>151.65029999999999</v>
      </c>
      <c r="M493" s="20" t="str">
        <f t="shared" si="28"/>
        <v>-60.65</v>
      </c>
      <c r="N493" s="21">
        <f t="shared" si="29"/>
        <v>20.999000000000002</v>
      </c>
      <c r="O493" s="21">
        <f t="shared" si="30"/>
        <v>765.72889999999995</v>
      </c>
      <c r="P493" s="21">
        <f t="shared" si="31"/>
        <v>1433.6617000000001</v>
      </c>
    </row>
    <row r="494" spans="1:16" ht="15" customHeight="1" x14ac:dyDescent="0.3">
      <c r="A494" s="7" t="s">
        <v>487</v>
      </c>
      <c r="B494" s="7" t="s">
        <v>588</v>
      </c>
      <c r="C494" s="3" t="s">
        <v>719</v>
      </c>
      <c r="D494" s="8" t="s">
        <v>1</v>
      </c>
      <c r="E494" s="8" t="s">
        <v>2</v>
      </c>
      <c r="F494" s="6">
        <v>120</v>
      </c>
      <c r="G494" s="2">
        <v>0</v>
      </c>
      <c r="H494" s="2">
        <v>0</v>
      </c>
      <c r="I494" s="2">
        <v>1.9407000000000001</v>
      </c>
      <c r="J494" s="2">
        <v>0</v>
      </c>
      <c r="K494" s="2">
        <v>0</v>
      </c>
      <c r="L494" s="2">
        <v>110.1146</v>
      </c>
      <c r="M494" s="20" t="str">
        <f t="shared" si="28"/>
        <v>0.00</v>
      </c>
      <c r="N494" s="21">
        <f t="shared" si="29"/>
        <v>0</v>
      </c>
      <c r="O494" s="21">
        <f t="shared" si="30"/>
        <v>-110.1146</v>
      </c>
      <c r="P494" s="21">
        <f t="shared" si="31"/>
        <v>0</v>
      </c>
    </row>
    <row r="495" spans="1:16" ht="15" customHeight="1" x14ac:dyDescent="0.3">
      <c r="A495" s="7" t="s">
        <v>488</v>
      </c>
      <c r="B495" s="7" t="s">
        <v>589</v>
      </c>
      <c r="C495" s="3" t="s">
        <v>720</v>
      </c>
      <c r="D495" s="8" t="s">
        <v>1</v>
      </c>
      <c r="E495" s="8" t="s">
        <v>5</v>
      </c>
      <c r="F495" s="6">
        <v>72</v>
      </c>
      <c r="G495" s="2">
        <v>2.0785999999999998</v>
      </c>
      <c r="H495" s="2">
        <v>7.1199999999999999E-2</v>
      </c>
      <c r="I495" s="2">
        <v>0</v>
      </c>
      <c r="J495" s="2">
        <v>104.04649999999999</v>
      </c>
      <c r="K495" s="2">
        <v>3.8216000000000001</v>
      </c>
      <c r="L495" s="2">
        <v>0</v>
      </c>
      <c r="M495" s="20" t="str">
        <f t="shared" si="28"/>
        <v>-96.57</v>
      </c>
      <c r="N495" s="21">
        <f t="shared" si="29"/>
        <v>2.0073999999999996</v>
      </c>
      <c r="O495" s="21">
        <f t="shared" si="30"/>
        <v>3.8216000000000001</v>
      </c>
      <c r="P495" s="21">
        <f t="shared" si="31"/>
        <v>100.22489999999999</v>
      </c>
    </row>
    <row r="496" spans="1:16" ht="15" customHeight="1" x14ac:dyDescent="0.3">
      <c r="A496" s="7" t="s">
        <v>489</v>
      </c>
      <c r="B496" s="7" t="s">
        <v>590</v>
      </c>
      <c r="C496" s="3" t="s">
        <v>721</v>
      </c>
      <c r="D496" s="8" t="s">
        <v>1</v>
      </c>
      <c r="E496" s="8" t="s">
        <v>12</v>
      </c>
      <c r="F496" s="6">
        <v>120</v>
      </c>
      <c r="G496" s="2">
        <v>0</v>
      </c>
      <c r="H496" s="2">
        <v>0</v>
      </c>
      <c r="I496" s="2">
        <v>0.1532</v>
      </c>
      <c r="J496" s="2">
        <v>0</v>
      </c>
      <c r="K496" s="2">
        <v>0</v>
      </c>
      <c r="L496" s="2">
        <v>9.1946999999999992</v>
      </c>
      <c r="M496" s="20" t="str">
        <f t="shared" si="28"/>
        <v>0.00</v>
      </c>
      <c r="N496" s="21">
        <f t="shared" si="29"/>
        <v>0</v>
      </c>
      <c r="O496" s="21">
        <f t="shared" si="30"/>
        <v>-9.1946999999999992</v>
      </c>
      <c r="P496" s="21">
        <f t="shared" si="31"/>
        <v>0</v>
      </c>
    </row>
    <row r="497" spans="1:16" ht="15" customHeight="1" x14ac:dyDescent="0.3">
      <c r="A497" s="7" t="s">
        <v>490</v>
      </c>
      <c r="B497" s="7" t="s">
        <v>590</v>
      </c>
      <c r="C497" s="3" t="s">
        <v>722</v>
      </c>
      <c r="D497" s="8" t="s">
        <v>1</v>
      </c>
      <c r="E497" s="8" t="s">
        <v>12</v>
      </c>
      <c r="F497" s="6">
        <v>72</v>
      </c>
      <c r="G497" s="2">
        <v>0</v>
      </c>
      <c r="H497" s="2">
        <v>2.8000000000000001E-2</v>
      </c>
      <c r="I497" s="2">
        <v>14.061199999999999</v>
      </c>
      <c r="J497" s="2">
        <v>0</v>
      </c>
      <c r="K497" s="2">
        <v>1.8513999999999999</v>
      </c>
      <c r="L497" s="2">
        <v>850.57989999999995</v>
      </c>
      <c r="M497" s="20" t="str">
        <f t="shared" si="28"/>
        <v>0.00</v>
      </c>
      <c r="N497" s="21">
        <f t="shared" si="29"/>
        <v>-2.8000000000000001E-2</v>
      </c>
      <c r="O497" s="21">
        <f t="shared" si="30"/>
        <v>-848.72849999999994</v>
      </c>
      <c r="P497" s="21">
        <f t="shared" si="31"/>
        <v>-1.8513999999999999</v>
      </c>
    </row>
    <row r="498" spans="1:16" ht="15" customHeight="1" x14ac:dyDescent="0.3">
      <c r="A498" s="7" t="s">
        <v>491</v>
      </c>
      <c r="B498" s="7" t="s">
        <v>590</v>
      </c>
      <c r="C498" s="3" t="s">
        <v>722</v>
      </c>
      <c r="D498" s="8" t="s">
        <v>1</v>
      </c>
      <c r="E498" s="8" t="s">
        <v>12</v>
      </c>
      <c r="F498" s="6">
        <v>72</v>
      </c>
      <c r="G498" s="2">
        <v>0</v>
      </c>
      <c r="H498" s="2">
        <v>3.1899999999999998E-2</v>
      </c>
      <c r="I498" s="2">
        <v>8.1054999999999993</v>
      </c>
      <c r="J498" s="2">
        <v>0</v>
      </c>
      <c r="K498" s="2">
        <v>2.1086</v>
      </c>
      <c r="L498" s="2">
        <v>502.96</v>
      </c>
      <c r="M498" s="20" t="str">
        <f t="shared" si="28"/>
        <v>0.00</v>
      </c>
      <c r="N498" s="21">
        <f t="shared" si="29"/>
        <v>-3.1899999999999998E-2</v>
      </c>
      <c r="O498" s="21">
        <f t="shared" si="30"/>
        <v>-500.85139999999996</v>
      </c>
      <c r="P498" s="21">
        <f t="shared" si="31"/>
        <v>-2.1086</v>
      </c>
    </row>
    <row r="499" spans="1:16" ht="15" customHeight="1" x14ac:dyDescent="0.3">
      <c r="A499" s="7" t="s">
        <v>492</v>
      </c>
      <c r="B499" s="7" t="s">
        <v>591</v>
      </c>
      <c r="C499" s="3" t="s">
        <v>723</v>
      </c>
      <c r="D499" s="8" t="s">
        <v>1</v>
      </c>
      <c r="E499" s="8" t="s">
        <v>12</v>
      </c>
      <c r="F499" s="6">
        <v>120</v>
      </c>
      <c r="G499" s="2">
        <v>25.839099999999998</v>
      </c>
      <c r="H499" s="2">
        <v>9.0121000000000002</v>
      </c>
      <c r="I499" s="2">
        <v>10.0204</v>
      </c>
      <c r="J499" s="2">
        <v>1539.4739</v>
      </c>
      <c r="K499" s="2">
        <v>509.45670000000001</v>
      </c>
      <c r="L499" s="2">
        <v>585.52229999999997</v>
      </c>
      <c r="M499" s="20" t="str">
        <f t="shared" si="28"/>
        <v>-65.12</v>
      </c>
      <c r="N499" s="21">
        <f t="shared" si="29"/>
        <v>16.826999999999998</v>
      </c>
      <c r="O499" s="21">
        <f t="shared" si="30"/>
        <v>-76.065599999999961</v>
      </c>
      <c r="P499" s="21">
        <f t="shared" si="31"/>
        <v>1030.0172</v>
      </c>
    </row>
    <row r="500" spans="1:16" ht="15" customHeight="1" x14ac:dyDescent="0.3">
      <c r="A500" s="7" t="s">
        <v>493</v>
      </c>
      <c r="B500" s="7" t="s">
        <v>592</v>
      </c>
      <c r="C500" s="3" t="s">
        <v>724</v>
      </c>
      <c r="D500" s="8" t="s">
        <v>1</v>
      </c>
      <c r="E500" s="8" t="s">
        <v>181</v>
      </c>
      <c r="F500" s="6">
        <v>50</v>
      </c>
      <c r="G500" s="2">
        <v>9.0969999999999995</v>
      </c>
      <c r="H500" s="2">
        <v>13.0891</v>
      </c>
      <c r="I500" s="2">
        <v>4.6460999999999997</v>
      </c>
      <c r="J500" s="2">
        <v>134.3818</v>
      </c>
      <c r="K500" s="2">
        <v>186.4109</v>
      </c>
      <c r="L500" s="2">
        <v>56.316099999999999</v>
      </c>
      <c r="M500" s="20" t="str">
        <f t="shared" si="28"/>
        <v>43.88</v>
      </c>
      <c r="N500" s="21">
        <f t="shared" si="29"/>
        <v>-3.9921000000000006</v>
      </c>
      <c r="O500" s="21">
        <f t="shared" si="30"/>
        <v>130.09479999999999</v>
      </c>
      <c r="P500" s="21">
        <f t="shared" si="31"/>
        <v>-52.0291</v>
      </c>
    </row>
    <row r="501" spans="1:16" ht="15" customHeight="1" x14ac:dyDescent="0.3">
      <c r="A501" s="7" t="s">
        <v>494</v>
      </c>
      <c r="B501" s="7" t="s">
        <v>592</v>
      </c>
      <c r="C501" s="3" t="s">
        <v>724</v>
      </c>
      <c r="D501" s="8" t="s">
        <v>1</v>
      </c>
      <c r="E501" s="8" t="s">
        <v>41</v>
      </c>
      <c r="F501" s="6">
        <v>50</v>
      </c>
      <c r="G501" s="2">
        <v>10.3986</v>
      </c>
      <c r="H501" s="2">
        <v>26.6724</v>
      </c>
      <c r="I501" s="2">
        <v>21.6234</v>
      </c>
      <c r="J501" s="2">
        <v>151.6679</v>
      </c>
      <c r="K501" s="2">
        <v>465.6979</v>
      </c>
      <c r="L501" s="2">
        <v>443.52179999999998</v>
      </c>
      <c r="M501" s="20" t="str">
        <f t="shared" si="28"/>
        <v>156.50</v>
      </c>
      <c r="N501" s="21">
        <f t="shared" si="29"/>
        <v>-16.273800000000001</v>
      </c>
      <c r="O501" s="21">
        <f t="shared" si="30"/>
        <v>22.176100000000019</v>
      </c>
      <c r="P501" s="21">
        <f t="shared" si="31"/>
        <v>-314.02999999999997</v>
      </c>
    </row>
    <row r="502" spans="1:16" ht="15" customHeight="1" x14ac:dyDescent="0.3">
      <c r="A502" s="7" t="s">
        <v>495</v>
      </c>
      <c r="B502" s="7" t="s">
        <v>593</v>
      </c>
      <c r="C502" s="3" t="s">
        <v>720</v>
      </c>
      <c r="D502" s="8" t="s">
        <v>1</v>
      </c>
      <c r="E502" s="8" t="s">
        <v>5</v>
      </c>
      <c r="F502" s="6">
        <v>72</v>
      </c>
      <c r="G502" s="2">
        <v>1.8396999999999999</v>
      </c>
      <c r="H502" s="2">
        <v>4.3616000000000001</v>
      </c>
      <c r="I502" s="2">
        <v>0</v>
      </c>
      <c r="J502" s="2">
        <v>115.49760000000001</v>
      </c>
      <c r="K502" s="2">
        <v>300.46589999999998</v>
      </c>
      <c r="L502" s="2">
        <v>0</v>
      </c>
      <c r="M502" s="20" t="str">
        <f t="shared" si="28"/>
        <v>137.08</v>
      </c>
      <c r="N502" s="21">
        <f t="shared" si="29"/>
        <v>-2.5219000000000005</v>
      </c>
      <c r="O502" s="21">
        <f t="shared" si="30"/>
        <v>300.46589999999998</v>
      </c>
      <c r="P502" s="21">
        <f t="shared" si="31"/>
        <v>-184.96829999999997</v>
      </c>
    </row>
  </sheetData>
  <autoFilter ref="A1:M502" xr:uid="{16EF74C2-8794-4088-8B17-C411BAB05EE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767B8-DE4C-4369-92CA-FD50150D0352}">
  <dimension ref="A3:B144"/>
  <sheetViews>
    <sheetView workbookViewId="0">
      <selection activeCell="K4" sqref="K4"/>
    </sheetView>
  </sheetViews>
  <sheetFormatPr defaultRowHeight="14.4" x14ac:dyDescent="0.3"/>
  <cols>
    <col min="1" max="1" width="22.109375" bestFit="1" customWidth="1"/>
    <col min="2" max="2" width="18.88671875" bestFit="1" customWidth="1"/>
  </cols>
  <sheetData>
    <row r="3" spans="1:2" x14ac:dyDescent="0.3">
      <c r="A3" s="9" t="s">
        <v>759</v>
      </c>
      <c r="B3" t="s">
        <v>768</v>
      </c>
    </row>
    <row r="4" spans="1:2" x14ac:dyDescent="0.3">
      <c r="A4" s="10" t="s">
        <v>717</v>
      </c>
      <c r="B4">
        <v>11.765500000000001</v>
      </c>
    </row>
    <row r="5" spans="1:2" x14ac:dyDescent="0.3">
      <c r="A5" s="10" t="s">
        <v>630</v>
      </c>
      <c r="B5">
        <v>18.009099999999997</v>
      </c>
    </row>
    <row r="6" spans="1:2" x14ac:dyDescent="0.3">
      <c r="A6" s="10" t="s">
        <v>704</v>
      </c>
      <c r="B6">
        <v>1.9661999999999999</v>
      </c>
    </row>
    <row r="7" spans="1:2" x14ac:dyDescent="0.3">
      <c r="A7" s="10" t="s">
        <v>631</v>
      </c>
      <c r="B7">
        <v>4.0545</v>
      </c>
    </row>
    <row r="8" spans="1:2" x14ac:dyDescent="0.3">
      <c r="A8" s="10" t="s">
        <v>627</v>
      </c>
      <c r="B8">
        <v>-32.48820000000002</v>
      </c>
    </row>
    <row r="9" spans="1:2" x14ac:dyDescent="0.3">
      <c r="A9" s="10" t="s">
        <v>616</v>
      </c>
      <c r="B9">
        <v>-86.541999999999931</v>
      </c>
    </row>
    <row r="10" spans="1:2" x14ac:dyDescent="0.3">
      <c r="A10" s="10" t="s">
        <v>751</v>
      </c>
      <c r="B10">
        <v>50.3812</v>
      </c>
    </row>
    <row r="11" spans="1:2" x14ac:dyDescent="0.3">
      <c r="A11" s="10" t="s">
        <v>629</v>
      </c>
      <c r="B11">
        <v>-1.8077000000000001</v>
      </c>
    </row>
    <row r="12" spans="1:2" x14ac:dyDescent="0.3">
      <c r="A12" s="10" t="s">
        <v>725</v>
      </c>
      <c r="B12">
        <v>1.3109999999999999</v>
      </c>
    </row>
    <row r="13" spans="1:2" x14ac:dyDescent="0.3">
      <c r="A13" s="10" t="s">
        <v>732</v>
      </c>
      <c r="B13">
        <v>-3.7900000000000003E-2</v>
      </c>
    </row>
    <row r="14" spans="1:2" x14ac:dyDescent="0.3">
      <c r="A14" s="10" t="s">
        <v>726</v>
      </c>
      <c r="B14">
        <v>1.09E-2</v>
      </c>
    </row>
    <row r="15" spans="1:2" x14ac:dyDescent="0.3">
      <c r="A15" s="10" t="s">
        <v>720</v>
      </c>
      <c r="B15">
        <v>-0.51450000000000085</v>
      </c>
    </row>
    <row r="16" spans="1:2" x14ac:dyDescent="0.3">
      <c r="A16" s="10" t="s">
        <v>684</v>
      </c>
      <c r="B16">
        <v>-0.79349999999999998</v>
      </c>
    </row>
    <row r="17" spans="1:2" x14ac:dyDescent="0.3">
      <c r="A17" s="10" t="s">
        <v>695</v>
      </c>
      <c r="B17">
        <v>21.406600000000005</v>
      </c>
    </row>
    <row r="18" spans="1:2" x14ac:dyDescent="0.3">
      <c r="A18" s="10" t="s">
        <v>643</v>
      </c>
      <c r="B18">
        <v>1.9916999999999998</v>
      </c>
    </row>
    <row r="19" spans="1:2" x14ac:dyDescent="0.3">
      <c r="A19" s="10" t="s">
        <v>687</v>
      </c>
      <c r="B19">
        <v>1.9943999999999997</v>
      </c>
    </row>
    <row r="20" spans="1:2" x14ac:dyDescent="0.3">
      <c r="A20" s="10" t="s">
        <v>672</v>
      </c>
      <c r="B20">
        <v>-31.5181</v>
      </c>
    </row>
    <row r="21" spans="1:2" x14ac:dyDescent="0.3">
      <c r="A21" s="10" t="s">
        <v>693</v>
      </c>
      <c r="B21">
        <v>12.684200000000001</v>
      </c>
    </row>
    <row r="22" spans="1:2" x14ac:dyDescent="0.3">
      <c r="A22" s="10" t="s">
        <v>655</v>
      </c>
      <c r="B22">
        <v>-6.3299999999999995E-2</v>
      </c>
    </row>
    <row r="23" spans="1:2" x14ac:dyDescent="0.3">
      <c r="A23" s="10" t="s">
        <v>737</v>
      </c>
      <c r="B23">
        <v>21.225400000000004</v>
      </c>
    </row>
    <row r="24" spans="1:2" x14ac:dyDescent="0.3">
      <c r="A24" s="10" t="s">
        <v>682</v>
      </c>
      <c r="B24">
        <v>-0.34839999999999999</v>
      </c>
    </row>
    <row r="25" spans="1:2" x14ac:dyDescent="0.3">
      <c r="A25" s="10" t="s">
        <v>624</v>
      </c>
      <c r="B25">
        <v>0.9778</v>
      </c>
    </row>
    <row r="26" spans="1:2" x14ac:dyDescent="0.3">
      <c r="A26" s="10" t="s">
        <v>651</v>
      </c>
      <c r="B26">
        <v>-3.052</v>
      </c>
    </row>
    <row r="27" spans="1:2" x14ac:dyDescent="0.3">
      <c r="A27" s="10" t="s">
        <v>733</v>
      </c>
      <c r="B27">
        <v>-19.203699999999998</v>
      </c>
    </row>
    <row r="28" spans="1:2" x14ac:dyDescent="0.3">
      <c r="A28" s="10" t="s">
        <v>669</v>
      </c>
      <c r="B28">
        <v>-0.46079999999999993</v>
      </c>
    </row>
    <row r="29" spans="1:2" x14ac:dyDescent="0.3">
      <c r="A29" s="10" t="s">
        <v>93</v>
      </c>
      <c r="B29">
        <v>-0.1202</v>
      </c>
    </row>
    <row r="30" spans="1:2" x14ac:dyDescent="0.3">
      <c r="A30" s="10" t="s">
        <v>632</v>
      </c>
      <c r="B30">
        <v>1.6358000000000001</v>
      </c>
    </row>
    <row r="31" spans="1:2" x14ac:dyDescent="0.3">
      <c r="A31" s="10" t="s">
        <v>705</v>
      </c>
      <c r="B31">
        <v>-2.731199999999979</v>
      </c>
    </row>
    <row r="32" spans="1:2" x14ac:dyDescent="0.3">
      <c r="A32" s="10" t="s">
        <v>719</v>
      </c>
      <c r="B32">
        <v>0</v>
      </c>
    </row>
    <row r="33" spans="1:2" x14ac:dyDescent="0.3">
      <c r="A33" s="10" t="s">
        <v>740</v>
      </c>
      <c r="B33">
        <v>1.7048000000000001</v>
      </c>
    </row>
    <row r="34" spans="1:2" x14ac:dyDescent="0.3">
      <c r="A34" s="10" t="s">
        <v>724</v>
      </c>
      <c r="B34">
        <v>-20.265900000000002</v>
      </c>
    </row>
    <row r="35" spans="1:2" x14ac:dyDescent="0.3">
      <c r="A35" s="10" t="s">
        <v>638</v>
      </c>
      <c r="B35">
        <v>-170.66500000000002</v>
      </c>
    </row>
    <row r="36" spans="1:2" x14ac:dyDescent="0.3">
      <c r="A36" s="10" t="s">
        <v>706</v>
      </c>
      <c r="B36">
        <v>24.3476</v>
      </c>
    </row>
    <row r="37" spans="1:2" x14ac:dyDescent="0.3">
      <c r="A37" s="10" t="s">
        <v>729</v>
      </c>
      <c r="B37">
        <v>23.642999999999994</v>
      </c>
    </row>
    <row r="38" spans="1:2" x14ac:dyDescent="0.3">
      <c r="A38" s="10" t="s">
        <v>641</v>
      </c>
      <c r="B38">
        <v>-22.611699999999999</v>
      </c>
    </row>
    <row r="39" spans="1:2" x14ac:dyDescent="0.3">
      <c r="A39" s="10" t="s">
        <v>714</v>
      </c>
      <c r="B39">
        <v>-0.1537</v>
      </c>
    </row>
    <row r="40" spans="1:2" x14ac:dyDescent="0.3">
      <c r="A40" s="10" t="s">
        <v>642</v>
      </c>
      <c r="B40">
        <v>9.0914000000000001</v>
      </c>
    </row>
    <row r="41" spans="1:2" x14ac:dyDescent="0.3">
      <c r="A41" s="10" t="s">
        <v>707</v>
      </c>
      <c r="B41">
        <v>-19.032699999999998</v>
      </c>
    </row>
    <row r="42" spans="1:2" x14ac:dyDescent="0.3">
      <c r="A42" s="10" t="s">
        <v>676</v>
      </c>
      <c r="B42">
        <v>30.122900000000001</v>
      </c>
    </row>
    <row r="43" spans="1:2" x14ac:dyDescent="0.3">
      <c r="A43" s="10" t="s">
        <v>745</v>
      </c>
      <c r="B43">
        <v>95.630599999999987</v>
      </c>
    </row>
    <row r="44" spans="1:2" x14ac:dyDescent="0.3">
      <c r="A44" s="10" t="s">
        <v>644</v>
      </c>
      <c r="B44">
        <v>21.844199999999997</v>
      </c>
    </row>
    <row r="45" spans="1:2" x14ac:dyDescent="0.3">
      <c r="A45" s="10" t="s">
        <v>748</v>
      </c>
      <c r="B45">
        <v>0.30569999999999997</v>
      </c>
    </row>
    <row r="46" spans="1:2" x14ac:dyDescent="0.3">
      <c r="A46" s="10" t="s">
        <v>701</v>
      </c>
      <c r="B46">
        <v>-46.244399999999999</v>
      </c>
    </row>
    <row r="47" spans="1:2" x14ac:dyDescent="0.3">
      <c r="A47" s="10" t="s">
        <v>677</v>
      </c>
      <c r="B47">
        <v>-71.560200000000009</v>
      </c>
    </row>
    <row r="48" spans="1:2" x14ac:dyDescent="0.3">
      <c r="A48" s="10" t="s">
        <v>744</v>
      </c>
      <c r="B48">
        <v>-6.88E-2</v>
      </c>
    </row>
    <row r="49" spans="1:2" x14ac:dyDescent="0.3">
      <c r="A49" s="10" t="s">
        <v>752</v>
      </c>
      <c r="B49">
        <v>21.470699999999997</v>
      </c>
    </row>
    <row r="50" spans="1:2" x14ac:dyDescent="0.3">
      <c r="A50" s="10" t="s">
        <v>622</v>
      </c>
      <c r="B50">
        <v>-1.8573</v>
      </c>
    </row>
    <row r="51" spans="1:2" x14ac:dyDescent="0.3">
      <c r="A51" s="10" t="s">
        <v>654</v>
      </c>
      <c r="B51">
        <v>-2.6458000000000008</v>
      </c>
    </row>
    <row r="52" spans="1:2" x14ac:dyDescent="0.3">
      <c r="A52" s="10" t="s">
        <v>747</v>
      </c>
      <c r="B52">
        <v>64.440300000000008</v>
      </c>
    </row>
    <row r="53" spans="1:2" x14ac:dyDescent="0.3">
      <c r="A53" s="10" t="s">
        <v>698</v>
      </c>
      <c r="B53">
        <v>0</v>
      </c>
    </row>
    <row r="54" spans="1:2" x14ac:dyDescent="0.3">
      <c r="A54" s="10" t="s">
        <v>662</v>
      </c>
      <c r="B54">
        <v>-19.246100000000002</v>
      </c>
    </row>
    <row r="55" spans="1:2" x14ac:dyDescent="0.3">
      <c r="A55" s="10" t="s">
        <v>618</v>
      </c>
      <c r="B55">
        <v>0.70520000000000005</v>
      </c>
    </row>
    <row r="56" spans="1:2" x14ac:dyDescent="0.3">
      <c r="A56" s="10" t="s">
        <v>721</v>
      </c>
      <c r="B56">
        <v>0</v>
      </c>
    </row>
    <row r="57" spans="1:2" x14ac:dyDescent="0.3">
      <c r="A57" s="10" t="s">
        <v>709</v>
      </c>
      <c r="B57">
        <v>9.6400000000000013E-2</v>
      </c>
    </row>
    <row r="58" spans="1:2" x14ac:dyDescent="0.3">
      <c r="A58" s="10" t="s">
        <v>739</v>
      </c>
      <c r="B58">
        <v>99.001300000000001</v>
      </c>
    </row>
    <row r="59" spans="1:2" x14ac:dyDescent="0.3">
      <c r="A59" s="10" t="s">
        <v>659</v>
      </c>
      <c r="B59">
        <v>32.397600000000004</v>
      </c>
    </row>
    <row r="60" spans="1:2" x14ac:dyDescent="0.3">
      <c r="A60" s="10" t="s">
        <v>710</v>
      </c>
      <c r="B60">
        <v>7.2749000000000006</v>
      </c>
    </row>
    <row r="61" spans="1:2" x14ac:dyDescent="0.3">
      <c r="A61" s="10" t="s">
        <v>728</v>
      </c>
      <c r="B61">
        <v>-13.192</v>
      </c>
    </row>
    <row r="62" spans="1:2" x14ac:dyDescent="0.3">
      <c r="A62" s="10" t="s">
        <v>743</v>
      </c>
      <c r="B62">
        <v>64.127299999999991</v>
      </c>
    </row>
    <row r="63" spans="1:2" x14ac:dyDescent="0.3">
      <c r="A63" s="10" t="s">
        <v>688</v>
      </c>
      <c r="B63">
        <v>0.48560000000000003</v>
      </c>
    </row>
    <row r="64" spans="1:2" x14ac:dyDescent="0.3">
      <c r="A64" s="10" t="s">
        <v>663</v>
      </c>
      <c r="B64">
        <v>6.0209999999999999</v>
      </c>
    </row>
    <row r="65" spans="1:2" x14ac:dyDescent="0.3">
      <c r="A65" s="10" t="s">
        <v>683</v>
      </c>
      <c r="B65">
        <v>0</v>
      </c>
    </row>
    <row r="66" spans="1:2" x14ac:dyDescent="0.3">
      <c r="A66" s="10" t="s">
        <v>661</v>
      </c>
      <c r="B66">
        <v>1.1900000000000001E-2</v>
      </c>
    </row>
    <row r="67" spans="1:2" x14ac:dyDescent="0.3">
      <c r="A67" s="10" t="s">
        <v>666</v>
      </c>
      <c r="B67">
        <v>7.0000000000000001E-3</v>
      </c>
    </row>
    <row r="68" spans="1:2" x14ac:dyDescent="0.3">
      <c r="A68" s="10" t="s">
        <v>750</v>
      </c>
      <c r="B68">
        <v>-12.47209999999999</v>
      </c>
    </row>
    <row r="69" spans="1:2" x14ac:dyDescent="0.3">
      <c r="A69" s="10" t="s">
        <v>640</v>
      </c>
      <c r="B69">
        <v>7.4918999999999993</v>
      </c>
    </row>
    <row r="70" spans="1:2" x14ac:dyDescent="0.3">
      <c r="A70" s="10" t="s">
        <v>617</v>
      </c>
      <c r="B70">
        <v>4.4762999999999931</v>
      </c>
    </row>
    <row r="71" spans="1:2" x14ac:dyDescent="0.3">
      <c r="A71" s="10" t="s">
        <v>645</v>
      </c>
      <c r="B71">
        <v>5.5361000000000011</v>
      </c>
    </row>
    <row r="72" spans="1:2" x14ac:dyDescent="0.3">
      <c r="A72" s="10" t="s">
        <v>727</v>
      </c>
      <c r="B72">
        <v>-4.4634999999999998</v>
      </c>
    </row>
    <row r="73" spans="1:2" x14ac:dyDescent="0.3">
      <c r="A73" s="10" t="s">
        <v>671</v>
      </c>
      <c r="B73">
        <v>-6.2138</v>
      </c>
    </row>
    <row r="74" spans="1:2" x14ac:dyDescent="0.3">
      <c r="A74" s="10" t="s">
        <v>660</v>
      </c>
      <c r="B74">
        <v>-10.2052</v>
      </c>
    </row>
    <row r="75" spans="1:2" x14ac:dyDescent="0.3">
      <c r="A75" s="10" t="s">
        <v>703</v>
      </c>
      <c r="B75">
        <v>4.3250999999999991</v>
      </c>
    </row>
    <row r="76" spans="1:2" x14ac:dyDescent="0.3">
      <c r="A76" s="10" t="s">
        <v>699</v>
      </c>
      <c r="B76">
        <v>14.2964</v>
      </c>
    </row>
    <row r="77" spans="1:2" x14ac:dyDescent="0.3">
      <c r="A77" s="10" t="s">
        <v>690</v>
      </c>
      <c r="B77">
        <v>9.4796000000000049</v>
      </c>
    </row>
    <row r="78" spans="1:2" x14ac:dyDescent="0.3">
      <c r="A78" s="10" t="s">
        <v>648</v>
      </c>
      <c r="B78">
        <v>7.4715999999999996</v>
      </c>
    </row>
    <row r="79" spans="1:2" x14ac:dyDescent="0.3">
      <c r="A79" s="10" t="s">
        <v>734</v>
      </c>
      <c r="B79">
        <v>-7.2421000000000006</v>
      </c>
    </row>
    <row r="80" spans="1:2" x14ac:dyDescent="0.3">
      <c r="A80" s="10" t="s">
        <v>670</v>
      </c>
      <c r="B80">
        <v>-5.6108999999999991</v>
      </c>
    </row>
    <row r="81" spans="1:2" x14ac:dyDescent="0.3">
      <c r="A81" s="10" t="s">
        <v>718</v>
      </c>
      <c r="B81">
        <v>-1.7299999999999996E-2</v>
      </c>
    </row>
    <row r="82" spans="1:2" x14ac:dyDescent="0.3">
      <c r="A82" s="10" t="s">
        <v>653</v>
      </c>
      <c r="B82">
        <v>-74.076999999999984</v>
      </c>
    </row>
    <row r="83" spans="1:2" x14ac:dyDescent="0.3">
      <c r="A83" s="10" t="s">
        <v>673</v>
      </c>
      <c r="B83">
        <v>12.3179</v>
      </c>
    </row>
    <row r="84" spans="1:2" x14ac:dyDescent="0.3">
      <c r="A84" s="10" t="s">
        <v>665</v>
      </c>
      <c r="B84">
        <v>3.6947000000000001</v>
      </c>
    </row>
    <row r="85" spans="1:2" x14ac:dyDescent="0.3">
      <c r="A85" s="10" t="s">
        <v>633</v>
      </c>
      <c r="B85">
        <v>54.371099999999998</v>
      </c>
    </row>
    <row r="86" spans="1:2" x14ac:dyDescent="0.3">
      <c r="A86" s="10" t="s">
        <v>678</v>
      </c>
      <c r="B86">
        <v>1.0731999999999999</v>
      </c>
    </row>
    <row r="87" spans="1:2" x14ac:dyDescent="0.3">
      <c r="A87" s="10" t="s">
        <v>647</v>
      </c>
      <c r="B87">
        <v>-7.5597000000000012</v>
      </c>
    </row>
    <row r="88" spans="1:2" x14ac:dyDescent="0.3">
      <c r="A88" s="10" t="s">
        <v>675</v>
      </c>
      <c r="B88">
        <v>0.27279999999999999</v>
      </c>
    </row>
    <row r="89" spans="1:2" x14ac:dyDescent="0.3">
      <c r="A89" s="10" t="s">
        <v>646</v>
      </c>
      <c r="B89">
        <v>-19.205400000000004</v>
      </c>
    </row>
    <row r="90" spans="1:2" x14ac:dyDescent="0.3">
      <c r="A90" s="10" t="s">
        <v>634</v>
      </c>
      <c r="B90">
        <v>9.5657999999999994</v>
      </c>
    </row>
    <row r="91" spans="1:2" x14ac:dyDescent="0.3">
      <c r="A91" s="10" t="s">
        <v>711</v>
      </c>
      <c r="B91">
        <v>-3.5154000000000005</v>
      </c>
    </row>
    <row r="92" spans="1:2" x14ac:dyDescent="0.3">
      <c r="A92" s="10" t="s">
        <v>731</v>
      </c>
      <c r="B92">
        <v>31.995299999999997</v>
      </c>
    </row>
    <row r="93" spans="1:2" x14ac:dyDescent="0.3">
      <c r="A93" s="10" t="s">
        <v>628</v>
      </c>
      <c r="B93">
        <v>1.03E-2</v>
      </c>
    </row>
    <row r="94" spans="1:2" x14ac:dyDescent="0.3">
      <c r="A94" s="10" t="s">
        <v>636</v>
      </c>
      <c r="B94">
        <v>8.9794</v>
      </c>
    </row>
    <row r="95" spans="1:2" x14ac:dyDescent="0.3">
      <c r="A95" s="10" t="s">
        <v>741</v>
      </c>
      <c r="B95">
        <v>-283.52600000000012</v>
      </c>
    </row>
    <row r="96" spans="1:2" x14ac:dyDescent="0.3">
      <c r="A96" s="10" t="s">
        <v>685</v>
      </c>
      <c r="B96">
        <v>0.30810000000000004</v>
      </c>
    </row>
    <row r="97" spans="1:2" x14ac:dyDescent="0.3">
      <c r="A97" s="10" t="s">
        <v>619</v>
      </c>
      <c r="B97">
        <v>10.241099999999999</v>
      </c>
    </row>
    <row r="98" spans="1:2" x14ac:dyDescent="0.3">
      <c r="A98" s="10" t="s">
        <v>657</v>
      </c>
      <c r="B98">
        <v>-0.2286</v>
      </c>
    </row>
    <row r="99" spans="1:2" x14ac:dyDescent="0.3">
      <c r="A99" s="10" t="s">
        <v>712</v>
      </c>
      <c r="B99">
        <v>-2.0231000000000021</v>
      </c>
    </row>
    <row r="100" spans="1:2" x14ac:dyDescent="0.3">
      <c r="A100" s="10" t="s">
        <v>658</v>
      </c>
      <c r="B100">
        <v>-0.22009999999999999</v>
      </c>
    </row>
    <row r="101" spans="1:2" x14ac:dyDescent="0.3">
      <c r="A101" s="10" t="s">
        <v>686</v>
      </c>
      <c r="B101">
        <v>0</v>
      </c>
    </row>
    <row r="102" spans="1:2" x14ac:dyDescent="0.3">
      <c r="A102" s="10" t="s">
        <v>652</v>
      </c>
      <c r="B102">
        <v>-68.265499999999975</v>
      </c>
    </row>
    <row r="103" spans="1:2" x14ac:dyDescent="0.3">
      <c r="A103" s="10" t="s">
        <v>620</v>
      </c>
      <c r="B103">
        <v>-0.51859999999999995</v>
      </c>
    </row>
    <row r="104" spans="1:2" x14ac:dyDescent="0.3">
      <c r="A104" s="10" t="s">
        <v>649</v>
      </c>
      <c r="B104">
        <v>40.106100000000005</v>
      </c>
    </row>
    <row r="105" spans="1:2" x14ac:dyDescent="0.3">
      <c r="A105" s="10" t="s">
        <v>650</v>
      </c>
      <c r="B105">
        <v>1.18</v>
      </c>
    </row>
    <row r="106" spans="1:2" x14ac:dyDescent="0.3">
      <c r="A106" s="10" t="s">
        <v>742</v>
      </c>
      <c r="B106">
        <v>-0.52689999999999948</v>
      </c>
    </row>
    <row r="107" spans="1:2" x14ac:dyDescent="0.3">
      <c r="A107" s="10" t="s">
        <v>691</v>
      </c>
      <c r="B107">
        <v>0.36180000000000001</v>
      </c>
    </row>
    <row r="108" spans="1:2" x14ac:dyDescent="0.3">
      <c r="A108" s="10" t="s">
        <v>746</v>
      </c>
      <c r="B108">
        <v>9.1873000000000005</v>
      </c>
    </row>
    <row r="109" spans="1:2" x14ac:dyDescent="0.3">
      <c r="A109" s="10" t="s">
        <v>722</v>
      </c>
      <c r="B109">
        <v>-5.9899999999999995E-2</v>
      </c>
    </row>
    <row r="110" spans="1:2" x14ac:dyDescent="0.3">
      <c r="A110" s="10" t="s">
        <v>679</v>
      </c>
      <c r="B110">
        <v>2.6486999999999998</v>
      </c>
    </row>
    <row r="111" spans="1:2" x14ac:dyDescent="0.3">
      <c r="A111" s="10" t="s">
        <v>667</v>
      </c>
      <c r="B111">
        <v>-1.9802000000000002</v>
      </c>
    </row>
    <row r="112" spans="1:2" x14ac:dyDescent="0.3">
      <c r="A112" s="10" t="s">
        <v>754</v>
      </c>
      <c r="B112">
        <v>-5.2800000000000402E-2</v>
      </c>
    </row>
    <row r="113" spans="1:2" x14ac:dyDescent="0.3">
      <c r="A113" s="10" t="s">
        <v>735</v>
      </c>
      <c r="B113">
        <v>20.6035</v>
      </c>
    </row>
    <row r="114" spans="1:2" x14ac:dyDescent="0.3">
      <c r="A114" s="10" t="s">
        <v>713</v>
      </c>
      <c r="B114">
        <v>142.5198</v>
      </c>
    </row>
    <row r="115" spans="1:2" x14ac:dyDescent="0.3">
      <c r="A115" s="10" t="s">
        <v>749</v>
      </c>
      <c r="B115">
        <v>17.602199999999996</v>
      </c>
    </row>
    <row r="116" spans="1:2" x14ac:dyDescent="0.3">
      <c r="A116" s="10" t="s">
        <v>702</v>
      </c>
      <c r="B116">
        <v>-0.39329999999999998</v>
      </c>
    </row>
    <row r="117" spans="1:2" x14ac:dyDescent="0.3">
      <c r="A117" s="10" t="s">
        <v>696</v>
      </c>
      <c r="B117">
        <v>-0.88320000000000021</v>
      </c>
    </row>
    <row r="118" spans="1:2" x14ac:dyDescent="0.3">
      <c r="A118" s="10" t="s">
        <v>753</v>
      </c>
      <c r="B118">
        <v>0.13550000000000001</v>
      </c>
    </row>
    <row r="119" spans="1:2" x14ac:dyDescent="0.3">
      <c r="A119" s="10" t="s">
        <v>708</v>
      </c>
      <c r="B119">
        <v>-4.7899999999998499E-2</v>
      </c>
    </row>
    <row r="120" spans="1:2" x14ac:dyDescent="0.3">
      <c r="A120" s="10" t="s">
        <v>639</v>
      </c>
      <c r="B120">
        <v>0.24010000000000001</v>
      </c>
    </row>
    <row r="121" spans="1:2" x14ac:dyDescent="0.3">
      <c r="A121" s="10" t="s">
        <v>736</v>
      </c>
      <c r="B121">
        <v>-161.38569999999999</v>
      </c>
    </row>
    <row r="122" spans="1:2" x14ac:dyDescent="0.3">
      <c r="A122" s="10" t="s">
        <v>689</v>
      </c>
      <c r="B122">
        <v>0</v>
      </c>
    </row>
    <row r="123" spans="1:2" x14ac:dyDescent="0.3">
      <c r="A123" s="10" t="s">
        <v>626</v>
      </c>
      <c r="B123">
        <v>-1.0868</v>
      </c>
    </row>
    <row r="124" spans="1:2" x14ac:dyDescent="0.3">
      <c r="A124" s="10" t="s">
        <v>697</v>
      </c>
      <c r="B124">
        <v>-3.1101999999999999</v>
      </c>
    </row>
    <row r="125" spans="1:2" x14ac:dyDescent="0.3">
      <c r="A125" s="10" t="s">
        <v>681</v>
      </c>
      <c r="B125">
        <v>0.15609999999999999</v>
      </c>
    </row>
    <row r="126" spans="1:2" x14ac:dyDescent="0.3">
      <c r="A126" s="10" t="s">
        <v>700</v>
      </c>
      <c r="B126">
        <v>8.9182999999999986</v>
      </c>
    </row>
    <row r="127" spans="1:2" x14ac:dyDescent="0.3">
      <c r="A127" s="10" t="s">
        <v>738</v>
      </c>
      <c r="B127">
        <v>-3.1300000000000001E-2</v>
      </c>
    </row>
    <row r="128" spans="1:2" x14ac:dyDescent="0.3">
      <c r="A128" s="10" t="s">
        <v>664</v>
      </c>
      <c r="B128">
        <v>-3.9999000000000002</v>
      </c>
    </row>
    <row r="129" spans="1:2" x14ac:dyDescent="0.3">
      <c r="A129" s="10" t="s">
        <v>730</v>
      </c>
      <c r="B129">
        <v>-0.79</v>
      </c>
    </row>
    <row r="130" spans="1:2" x14ac:dyDescent="0.3">
      <c r="A130" s="10" t="s">
        <v>680</v>
      </c>
      <c r="B130">
        <v>-57.402999999999999</v>
      </c>
    </row>
    <row r="131" spans="1:2" x14ac:dyDescent="0.3">
      <c r="A131" s="10" t="s">
        <v>668</v>
      </c>
      <c r="B131">
        <v>-0.36070000000000002</v>
      </c>
    </row>
    <row r="132" spans="1:2" x14ac:dyDescent="0.3">
      <c r="A132" s="10" t="s">
        <v>716</v>
      </c>
      <c r="B132">
        <v>0</v>
      </c>
    </row>
    <row r="133" spans="1:2" x14ac:dyDescent="0.3">
      <c r="A133" s="10" t="s">
        <v>621</v>
      </c>
      <c r="B133">
        <v>-1.7500000000000002E-2</v>
      </c>
    </row>
    <row r="134" spans="1:2" x14ac:dyDescent="0.3">
      <c r="A134" s="10" t="s">
        <v>623</v>
      </c>
      <c r="B134">
        <v>-4.3158999999999992</v>
      </c>
    </row>
    <row r="135" spans="1:2" x14ac:dyDescent="0.3">
      <c r="A135" s="10" t="s">
        <v>723</v>
      </c>
      <c r="B135">
        <v>16.826999999999998</v>
      </c>
    </row>
    <row r="136" spans="1:2" x14ac:dyDescent="0.3">
      <c r="A136" s="10" t="s">
        <v>625</v>
      </c>
      <c r="B136">
        <v>0</v>
      </c>
    </row>
    <row r="137" spans="1:2" x14ac:dyDescent="0.3">
      <c r="A137" s="10" t="s">
        <v>692</v>
      </c>
      <c r="B137">
        <v>-0.24339999999999984</v>
      </c>
    </row>
    <row r="138" spans="1:2" x14ac:dyDescent="0.3">
      <c r="A138" s="10" t="s">
        <v>694</v>
      </c>
      <c r="B138">
        <v>-17.804399999999994</v>
      </c>
    </row>
    <row r="139" spans="1:2" x14ac:dyDescent="0.3">
      <c r="A139" s="10" t="s">
        <v>715</v>
      </c>
      <c r="B139">
        <v>5.2523</v>
      </c>
    </row>
    <row r="140" spans="1:2" x14ac:dyDescent="0.3">
      <c r="A140" s="10" t="s">
        <v>656</v>
      </c>
      <c r="B140">
        <v>-51.720600000000005</v>
      </c>
    </row>
    <row r="141" spans="1:2" x14ac:dyDescent="0.3">
      <c r="A141" s="10" t="s">
        <v>635</v>
      </c>
      <c r="B141">
        <v>13.098700000000001</v>
      </c>
    </row>
    <row r="142" spans="1:2" x14ac:dyDescent="0.3">
      <c r="A142" s="10" t="s">
        <v>674</v>
      </c>
      <c r="B142">
        <v>-70.075199999999995</v>
      </c>
    </row>
    <row r="143" spans="1:2" x14ac:dyDescent="0.3">
      <c r="A143" s="10" t="s">
        <v>637</v>
      </c>
      <c r="B143">
        <v>-52.698100000000004</v>
      </c>
    </row>
    <row r="144" spans="1:2" x14ac:dyDescent="0.3">
      <c r="A144" s="10" t="s">
        <v>760</v>
      </c>
      <c r="B144">
        <v>-384.68850000000009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DB3AA-B8C0-4B14-997B-85E8FA2EB284}">
  <dimension ref="A3:C9"/>
  <sheetViews>
    <sheetView workbookViewId="0">
      <selection activeCell="L24" sqref="L24"/>
    </sheetView>
  </sheetViews>
  <sheetFormatPr defaultRowHeight="14.4" x14ac:dyDescent="0.3"/>
  <cols>
    <col min="1" max="1" width="17.33203125" bestFit="1" customWidth="1"/>
    <col min="2" max="3" width="16.77734375" bestFit="1" customWidth="1"/>
  </cols>
  <sheetData>
    <row r="3" spans="1:3" x14ac:dyDescent="0.3">
      <c r="A3" s="9" t="s">
        <v>759</v>
      </c>
      <c r="B3" t="s">
        <v>761</v>
      </c>
      <c r="C3" t="s">
        <v>762</v>
      </c>
    </row>
    <row r="4" spans="1:3" x14ac:dyDescent="0.3">
      <c r="A4" s="10" t="s">
        <v>498</v>
      </c>
      <c r="B4" s="11">
        <v>3428.0433000000003</v>
      </c>
      <c r="C4" s="11">
        <v>3341.5013000000004</v>
      </c>
    </row>
    <row r="5" spans="1:3" x14ac:dyDescent="0.3">
      <c r="A5" s="10" t="s">
        <v>570</v>
      </c>
      <c r="B5" s="11">
        <v>2101.7048</v>
      </c>
      <c r="C5" s="11">
        <v>1818.5406000000007</v>
      </c>
    </row>
    <row r="6" spans="1:3" x14ac:dyDescent="0.3">
      <c r="A6" s="10" t="s">
        <v>526</v>
      </c>
      <c r="B6" s="11">
        <v>822.98120000000029</v>
      </c>
      <c r="C6" s="11">
        <v>1012.9229999999999</v>
      </c>
    </row>
    <row r="7" spans="1:3" x14ac:dyDescent="0.3">
      <c r="A7" s="10" t="s">
        <v>580</v>
      </c>
      <c r="B7" s="11">
        <v>529.41079999999999</v>
      </c>
      <c r="C7" s="11">
        <v>632.96199999999999</v>
      </c>
    </row>
    <row r="8" spans="1:3" x14ac:dyDescent="0.3">
      <c r="A8" s="10" t="s">
        <v>499</v>
      </c>
      <c r="B8" s="11">
        <v>507.30459999999999</v>
      </c>
      <c r="C8" s="11">
        <v>511.78090000000003</v>
      </c>
    </row>
    <row r="9" spans="1:3" x14ac:dyDescent="0.3">
      <c r="A9" s="10" t="s">
        <v>760</v>
      </c>
      <c r="B9" s="11">
        <v>7389.4447</v>
      </c>
      <c r="C9" s="11">
        <v>7317.707800000001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E5B79-12FC-4D55-8EB3-D58C9B9CE732}">
  <dimension ref="A3:D14"/>
  <sheetViews>
    <sheetView topLeftCell="A2" workbookViewId="0">
      <selection activeCell="E24" sqref="E24"/>
    </sheetView>
  </sheetViews>
  <sheetFormatPr defaultRowHeight="14.4" x14ac:dyDescent="0.3"/>
  <cols>
    <col min="1" max="1" width="12.5546875" bestFit="1" customWidth="1"/>
    <col min="2" max="3" width="18.6640625" bestFit="1" customWidth="1"/>
    <col min="4" max="4" width="20.33203125" bestFit="1" customWidth="1"/>
  </cols>
  <sheetData>
    <row r="3" spans="1:4" x14ac:dyDescent="0.3">
      <c r="A3" s="9" t="s">
        <v>759</v>
      </c>
      <c r="B3" t="s">
        <v>763</v>
      </c>
      <c r="C3" t="s">
        <v>764</v>
      </c>
      <c r="D3" t="s">
        <v>765</v>
      </c>
    </row>
    <row r="4" spans="1:4" x14ac:dyDescent="0.3">
      <c r="A4" s="10">
        <v>72</v>
      </c>
      <c r="B4" s="1">
        <v>153775.27919999999</v>
      </c>
      <c r="C4" s="1">
        <v>144373.22090000004</v>
      </c>
      <c r="D4" s="1">
        <v>73445.01880000002</v>
      </c>
    </row>
    <row r="5" spans="1:4" x14ac:dyDescent="0.3">
      <c r="A5" s="10">
        <v>120</v>
      </c>
      <c r="B5" s="1">
        <v>140218.00759999998</v>
      </c>
      <c r="C5" s="1">
        <v>152424.14560000005</v>
      </c>
      <c r="D5" s="1">
        <v>75389.420499999993</v>
      </c>
    </row>
    <row r="6" spans="1:4" x14ac:dyDescent="0.3">
      <c r="A6" s="10">
        <v>80</v>
      </c>
      <c r="B6" s="1">
        <v>31573.781599999995</v>
      </c>
      <c r="C6" s="1">
        <v>25763.2327</v>
      </c>
      <c r="D6" s="1">
        <v>10561.467099999998</v>
      </c>
    </row>
    <row r="7" spans="1:4" x14ac:dyDescent="0.3">
      <c r="A7" s="10">
        <v>64</v>
      </c>
      <c r="B7" s="1">
        <v>30188.789799999999</v>
      </c>
      <c r="C7" s="1">
        <v>24709.567799999997</v>
      </c>
      <c r="D7" s="1">
        <v>11128.7448</v>
      </c>
    </row>
    <row r="8" spans="1:4" x14ac:dyDescent="0.3">
      <c r="A8" s="10">
        <v>100</v>
      </c>
      <c r="B8" s="1">
        <v>28390.618899999998</v>
      </c>
      <c r="C8" s="1">
        <v>28845.303199999995</v>
      </c>
      <c r="D8" s="1">
        <v>13184.917699999998</v>
      </c>
    </row>
    <row r="9" spans="1:4" x14ac:dyDescent="0.3">
      <c r="A9" s="10">
        <v>52</v>
      </c>
      <c r="B9" s="1">
        <v>26840.936600000001</v>
      </c>
      <c r="C9" s="1">
        <v>34758.950799999999</v>
      </c>
      <c r="D9" s="1">
        <v>21933.4833</v>
      </c>
    </row>
    <row r="10" spans="1:4" x14ac:dyDescent="0.3">
      <c r="A10" s="10">
        <v>60</v>
      </c>
      <c r="B10" s="1">
        <v>14180.574499999999</v>
      </c>
      <c r="C10" s="1">
        <v>16485.746600000002</v>
      </c>
      <c r="D10" s="1">
        <v>7455.6704</v>
      </c>
    </row>
    <row r="11" spans="1:4" x14ac:dyDescent="0.3">
      <c r="A11" s="10">
        <v>140</v>
      </c>
      <c r="B11" s="1">
        <v>7337.7478999999994</v>
      </c>
      <c r="C11" s="1">
        <v>8103.3085000000001</v>
      </c>
      <c r="D11" s="1">
        <v>7048.5825999999997</v>
      </c>
    </row>
    <row r="12" spans="1:4" x14ac:dyDescent="0.3">
      <c r="A12" s="10">
        <v>63</v>
      </c>
      <c r="B12" s="1">
        <v>6841.3387000000002</v>
      </c>
      <c r="C12" s="1">
        <v>6908.5156999999999</v>
      </c>
      <c r="D12" s="1">
        <v>2268.0683000000004</v>
      </c>
    </row>
    <row r="13" spans="1:4" x14ac:dyDescent="0.3">
      <c r="A13" s="10">
        <v>144</v>
      </c>
      <c r="B13" s="1">
        <v>5660.9096</v>
      </c>
      <c r="C13" s="1">
        <v>6676.0725000000002</v>
      </c>
      <c r="D13" s="1">
        <v>2270.1652000000004</v>
      </c>
    </row>
    <row r="14" spans="1:4" x14ac:dyDescent="0.3">
      <c r="A14" s="10" t="s">
        <v>760</v>
      </c>
      <c r="B14" s="1">
        <v>445007.98440000002</v>
      </c>
      <c r="C14" s="1">
        <v>449048.06430000009</v>
      </c>
      <c r="D14" s="1">
        <v>224685.53869999998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7CEBC-8B29-41AF-9BE4-FEB6D6D9A8D2}">
  <dimension ref="D6:E17"/>
  <sheetViews>
    <sheetView topLeftCell="C1" workbookViewId="0">
      <selection activeCell="E3" sqref="E3"/>
    </sheetView>
  </sheetViews>
  <sheetFormatPr defaultRowHeight="14.4" x14ac:dyDescent="0.3"/>
  <cols>
    <col min="4" max="4" width="42.109375" bestFit="1" customWidth="1"/>
    <col min="5" max="5" width="30.21875" bestFit="1" customWidth="1"/>
  </cols>
  <sheetData>
    <row r="6" spans="4:5" x14ac:dyDescent="0.3">
      <c r="D6" s="9" t="s">
        <v>759</v>
      </c>
      <c r="E6" t="s">
        <v>773</v>
      </c>
    </row>
    <row r="7" spans="4:5" x14ac:dyDescent="0.3">
      <c r="D7" s="10" t="s">
        <v>291</v>
      </c>
      <c r="E7">
        <v>1769.2567999999999</v>
      </c>
    </row>
    <row r="8" spans="4:5" x14ac:dyDescent="0.3">
      <c r="D8" s="10" t="s">
        <v>397</v>
      </c>
      <c r="E8">
        <v>1962.3911000000007</v>
      </c>
    </row>
    <row r="9" spans="4:5" x14ac:dyDescent="0.3">
      <c r="D9" s="10" t="s">
        <v>438</v>
      </c>
      <c r="E9">
        <v>2049.6656000000003</v>
      </c>
    </row>
    <row r="10" spans="4:5" x14ac:dyDescent="0.3">
      <c r="D10" s="10" t="s">
        <v>26</v>
      </c>
      <c r="E10">
        <v>2382.5905000000002</v>
      </c>
    </row>
    <row r="11" spans="4:5" x14ac:dyDescent="0.3">
      <c r="D11" s="10" t="s">
        <v>108</v>
      </c>
      <c r="E11">
        <v>2534.2295999999997</v>
      </c>
    </row>
    <row r="12" spans="4:5" x14ac:dyDescent="0.3">
      <c r="D12" s="10" t="s">
        <v>151</v>
      </c>
      <c r="E12">
        <v>4253.6499000000003</v>
      </c>
    </row>
    <row r="13" spans="4:5" x14ac:dyDescent="0.3">
      <c r="D13" s="10" t="s">
        <v>473</v>
      </c>
      <c r="E13">
        <v>4878.2541999999994</v>
      </c>
    </row>
    <row r="14" spans="4:5" x14ac:dyDescent="0.3">
      <c r="D14" s="10" t="s">
        <v>141</v>
      </c>
      <c r="E14">
        <v>4878.5128000000022</v>
      </c>
    </row>
    <row r="15" spans="4:5" x14ac:dyDescent="0.3">
      <c r="D15" s="10" t="s">
        <v>442</v>
      </c>
      <c r="E15">
        <v>6404.9830000000002</v>
      </c>
    </row>
    <row r="16" spans="4:5" x14ac:dyDescent="0.3">
      <c r="D16" s="10" t="s">
        <v>7</v>
      </c>
      <c r="E16">
        <v>6903.5393000000004</v>
      </c>
    </row>
    <row r="17" spans="4:5" x14ac:dyDescent="0.3">
      <c r="D17" s="10" t="s">
        <v>760</v>
      </c>
      <c r="E17">
        <v>38017.072799999994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F27A1-07C6-4887-AB95-E944F14E640C}">
  <dimension ref="B4:C15"/>
  <sheetViews>
    <sheetView workbookViewId="0">
      <selection activeCell="I8" sqref="I8"/>
    </sheetView>
  </sheetViews>
  <sheetFormatPr defaultRowHeight="14.4" x14ac:dyDescent="0.3"/>
  <cols>
    <col min="2" max="2" width="42.5546875" bestFit="1" customWidth="1"/>
    <col min="3" max="3" width="10.6640625" bestFit="1" customWidth="1"/>
    <col min="4" max="4" width="24.5546875" bestFit="1" customWidth="1"/>
    <col min="5" max="6" width="18.6640625" bestFit="1" customWidth="1"/>
    <col min="7" max="7" width="16.77734375" bestFit="1" customWidth="1"/>
  </cols>
  <sheetData>
    <row r="4" spans="2:3" x14ac:dyDescent="0.3">
      <c r="B4" s="9" t="s">
        <v>759</v>
      </c>
      <c r="C4" t="s">
        <v>774</v>
      </c>
    </row>
    <row r="5" spans="2:3" x14ac:dyDescent="0.3">
      <c r="B5" s="10" t="s">
        <v>1</v>
      </c>
      <c r="C5" s="18">
        <v>35564</v>
      </c>
    </row>
    <row r="6" spans="2:3" x14ac:dyDescent="0.3">
      <c r="B6" s="19" t="s">
        <v>12</v>
      </c>
      <c r="C6">
        <v>9392</v>
      </c>
    </row>
    <row r="7" spans="2:3" x14ac:dyDescent="0.3">
      <c r="B7" s="19" t="s">
        <v>181</v>
      </c>
      <c r="C7">
        <v>546</v>
      </c>
    </row>
    <row r="8" spans="2:3" x14ac:dyDescent="0.3">
      <c r="B8" s="19" t="s">
        <v>45</v>
      </c>
      <c r="C8">
        <v>822</v>
      </c>
    </row>
    <row r="9" spans="2:3" x14ac:dyDescent="0.3">
      <c r="B9" s="19" t="s">
        <v>5</v>
      </c>
      <c r="C9">
        <v>12902</v>
      </c>
    </row>
    <row r="10" spans="2:3" x14ac:dyDescent="0.3">
      <c r="B10" s="19" t="s">
        <v>41</v>
      </c>
      <c r="C10">
        <v>5120</v>
      </c>
    </row>
    <row r="11" spans="2:3" x14ac:dyDescent="0.3">
      <c r="B11" s="19" t="s">
        <v>2</v>
      </c>
      <c r="C11">
        <v>6782</v>
      </c>
    </row>
    <row r="12" spans="2:3" x14ac:dyDescent="0.3">
      <c r="B12" s="10" t="s">
        <v>405</v>
      </c>
      <c r="C12" s="18">
        <v>126</v>
      </c>
    </row>
    <row r="13" spans="2:3" x14ac:dyDescent="0.3">
      <c r="B13" s="19" t="s">
        <v>41</v>
      </c>
      <c r="C13">
        <v>56</v>
      </c>
    </row>
    <row r="14" spans="2:3" x14ac:dyDescent="0.3">
      <c r="B14" s="19" t="s">
        <v>2</v>
      </c>
      <c r="C14">
        <v>70</v>
      </c>
    </row>
    <row r="15" spans="2:3" x14ac:dyDescent="0.3">
      <c r="B15" s="10" t="s">
        <v>760</v>
      </c>
      <c r="C15">
        <v>35690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C823-726C-45B7-B6E6-8F67E6B2DC8D}">
  <dimension ref="A3:B145"/>
  <sheetViews>
    <sheetView workbookViewId="0">
      <selection activeCell="D7" sqref="D7"/>
    </sheetView>
  </sheetViews>
  <sheetFormatPr defaultRowHeight="14.4" x14ac:dyDescent="0.3"/>
  <cols>
    <col min="1" max="1" width="22.109375" bestFit="1" customWidth="1"/>
    <col min="2" max="2" width="18.77734375" bestFit="1" customWidth="1"/>
  </cols>
  <sheetData>
    <row r="3" spans="1:2" x14ac:dyDescent="0.3">
      <c r="A3" s="9" t="s">
        <v>759</v>
      </c>
      <c r="B3" t="s">
        <v>770</v>
      </c>
    </row>
    <row r="4" spans="1:2" x14ac:dyDescent="0.3">
      <c r="A4" s="10" t="s">
        <v>717</v>
      </c>
      <c r="B4">
        <v>714.9375</v>
      </c>
    </row>
    <row r="5" spans="1:2" x14ac:dyDescent="0.3">
      <c r="A5" s="10" t="s">
        <v>630</v>
      </c>
      <c r="B5">
        <v>1783.5079000000001</v>
      </c>
    </row>
    <row r="6" spans="1:2" x14ac:dyDescent="0.3">
      <c r="A6" s="10" t="s">
        <v>704</v>
      </c>
      <c r="B6">
        <v>1.9971000000000001</v>
      </c>
    </row>
    <row r="7" spans="1:2" x14ac:dyDescent="0.3">
      <c r="A7" s="10" t="s">
        <v>631</v>
      </c>
      <c r="B7">
        <v>0</v>
      </c>
    </row>
    <row r="8" spans="1:2" x14ac:dyDescent="0.3">
      <c r="A8" s="10" t="s">
        <v>627</v>
      </c>
      <c r="B8">
        <v>6142.2742000000007</v>
      </c>
    </row>
    <row r="9" spans="1:2" x14ac:dyDescent="0.3">
      <c r="A9" s="10" t="s">
        <v>616</v>
      </c>
      <c r="B9">
        <v>62637.996599999991</v>
      </c>
    </row>
    <row r="10" spans="1:2" x14ac:dyDescent="0.3">
      <c r="A10" s="10" t="s">
        <v>751</v>
      </c>
      <c r="B10">
        <v>146.12040000000002</v>
      </c>
    </row>
    <row r="11" spans="1:2" x14ac:dyDescent="0.3">
      <c r="A11" s="10" t="s">
        <v>629</v>
      </c>
      <c r="B11">
        <v>-2828.6375999999996</v>
      </c>
    </row>
    <row r="12" spans="1:2" x14ac:dyDescent="0.3">
      <c r="A12" s="10" t="s">
        <v>725</v>
      </c>
      <c r="B12">
        <v>9.4085999999999999</v>
      </c>
    </row>
    <row r="13" spans="1:2" x14ac:dyDescent="0.3">
      <c r="A13" s="10" t="s">
        <v>732</v>
      </c>
      <c r="B13">
        <v>-1.9376000000000002</v>
      </c>
    </row>
    <row r="14" spans="1:2" x14ac:dyDescent="0.3">
      <c r="A14" s="10" t="s">
        <v>726</v>
      </c>
      <c r="B14">
        <v>0</v>
      </c>
    </row>
    <row r="15" spans="1:2" x14ac:dyDescent="0.3">
      <c r="A15" s="10" t="s">
        <v>720</v>
      </c>
      <c r="B15">
        <v>304.28749999999997</v>
      </c>
    </row>
    <row r="16" spans="1:2" x14ac:dyDescent="0.3">
      <c r="A16" s="10" t="s">
        <v>684</v>
      </c>
      <c r="B16">
        <v>3.6661000000000001</v>
      </c>
    </row>
    <row r="17" spans="1:2" x14ac:dyDescent="0.3">
      <c r="A17" s="10" t="s">
        <v>695</v>
      </c>
      <c r="B17">
        <v>1502.5164999999997</v>
      </c>
    </row>
    <row r="18" spans="1:2" x14ac:dyDescent="0.3">
      <c r="A18" s="10" t="s">
        <v>643</v>
      </c>
      <c r="B18">
        <v>24.409400000000002</v>
      </c>
    </row>
    <row r="19" spans="1:2" x14ac:dyDescent="0.3">
      <c r="A19" s="10" t="s">
        <v>687</v>
      </c>
      <c r="B19">
        <v>1.9417000000000002</v>
      </c>
    </row>
    <row r="20" spans="1:2" x14ac:dyDescent="0.3">
      <c r="A20" s="10" t="s">
        <v>672</v>
      </c>
      <c r="B20">
        <v>1873.3029000000001</v>
      </c>
    </row>
    <row r="21" spans="1:2" x14ac:dyDescent="0.3">
      <c r="A21" s="10" t="s">
        <v>693</v>
      </c>
      <c r="B21">
        <v>0</v>
      </c>
    </row>
    <row r="22" spans="1:2" x14ac:dyDescent="0.3">
      <c r="A22" s="10" t="s">
        <v>655</v>
      </c>
      <c r="B22">
        <v>0.39080000000000004</v>
      </c>
    </row>
    <row r="23" spans="1:2" x14ac:dyDescent="0.3">
      <c r="A23" s="10" t="s">
        <v>737</v>
      </c>
      <c r="B23">
        <v>768.71539999999993</v>
      </c>
    </row>
    <row r="24" spans="1:2" x14ac:dyDescent="0.3">
      <c r="A24" s="10" t="s">
        <v>682</v>
      </c>
      <c r="B24">
        <v>16.541699999999999</v>
      </c>
    </row>
    <row r="25" spans="1:2" x14ac:dyDescent="0.3">
      <c r="A25" s="10" t="s">
        <v>624</v>
      </c>
      <c r="B25">
        <v>40.203899999999997</v>
      </c>
    </row>
    <row r="26" spans="1:2" x14ac:dyDescent="0.3">
      <c r="A26" s="10" t="s">
        <v>651</v>
      </c>
      <c r="B26">
        <v>25.639800000000001</v>
      </c>
    </row>
    <row r="27" spans="1:2" x14ac:dyDescent="0.3">
      <c r="A27" s="10" t="s">
        <v>733</v>
      </c>
      <c r="B27">
        <v>-815.37659999999994</v>
      </c>
    </row>
    <row r="28" spans="1:2" x14ac:dyDescent="0.3">
      <c r="A28" s="10" t="s">
        <v>669</v>
      </c>
      <c r="B28">
        <v>20.860500000000002</v>
      </c>
    </row>
    <row r="29" spans="1:2" x14ac:dyDescent="0.3">
      <c r="A29" s="10" t="s">
        <v>93</v>
      </c>
      <c r="B29">
        <v>2.4085999999999999</v>
      </c>
    </row>
    <row r="30" spans="1:2" x14ac:dyDescent="0.3">
      <c r="A30" s="10" t="s">
        <v>632</v>
      </c>
      <c r="B30">
        <v>0</v>
      </c>
    </row>
    <row r="31" spans="1:2" x14ac:dyDescent="0.3">
      <c r="A31" s="10" t="s">
        <v>705</v>
      </c>
      <c r="B31">
        <v>8578.0195999999996</v>
      </c>
    </row>
    <row r="32" spans="1:2" x14ac:dyDescent="0.3">
      <c r="A32" s="10" t="s">
        <v>719</v>
      </c>
      <c r="B32">
        <v>-110.1146</v>
      </c>
    </row>
    <row r="33" spans="1:2" x14ac:dyDescent="0.3">
      <c r="A33" s="10" t="s">
        <v>740</v>
      </c>
      <c r="B33">
        <v>0.64290000000000003</v>
      </c>
    </row>
    <row r="34" spans="1:2" x14ac:dyDescent="0.3">
      <c r="A34" s="10" t="s">
        <v>724</v>
      </c>
      <c r="B34">
        <v>152.27090000000001</v>
      </c>
    </row>
    <row r="35" spans="1:2" x14ac:dyDescent="0.3">
      <c r="A35" s="10" t="s">
        <v>638</v>
      </c>
      <c r="B35">
        <v>5233.4970000000003</v>
      </c>
    </row>
    <row r="36" spans="1:2" x14ac:dyDescent="0.3">
      <c r="A36" s="10" t="s">
        <v>706</v>
      </c>
      <c r="B36">
        <v>1098.9446000000003</v>
      </c>
    </row>
    <row r="37" spans="1:2" x14ac:dyDescent="0.3">
      <c r="A37" s="10" t="s">
        <v>729</v>
      </c>
      <c r="B37">
        <v>4357.8273000000008</v>
      </c>
    </row>
    <row r="38" spans="1:2" x14ac:dyDescent="0.3">
      <c r="A38" s="10" t="s">
        <v>641</v>
      </c>
      <c r="B38">
        <v>982.26199999999994</v>
      </c>
    </row>
    <row r="39" spans="1:2" x14ac:dyDescent="0.3">
      <c r="A39" s="10" t="s">
        <v>714</v>
      </c>
      <c r="B39">
        <v>5.4412000000000003</v>
      </c>
    </row>
    <row r="40" spans="1:2" x14ac:dyDescent="0.3">
      <c r="A40" s="10" t="s">
        <v>642</v>
      </c>
      <c r="B40">
        <v>4.8851999999999993</v>
      </c>
    </row>
    <row r="41" spans="1:2" x14ac:dyDescent="0.3">
      <c r="A41" s="10" t="s">
        <v>707</v>
      </c>
      <c r="B41">
        <v>47.74350000000004</v>
      </c>
    </row>
    <row r="42" spans="1:2" x14ac:dyDescent="0.3">
      <c r="A42" s="10" t="s">
        <v>676</v>
      </c>
      <c r="B42">
        <v>582.28050000000019</v>
      </c>
    </row>
    <row r="43" spans="1:2" x14ac:dyDescent="0.3">
      <c r="A43" s="10" t="s">
        <v>745</v>
      </c>
      <c r="B43">
        <v>10517.853799999997</v>
      </c>
    </row>
    <row r="44" spans="1:2" x14ac:dyDescent="0.3">
      <c r="A44" s="10" t="s">
        <v>644</v>
      </c>
      <c r="B44">
        <v>323.4391</v>
      </c>
    </row>
    <row r="45" spans="1:2" x14ac:dyDescent="0.3">
      <c r="A45" s="10" t="s">
        <v>748</v>
      </c>
      <c r="B45">
        <v>-33.336300000000001</v>
      </c>
    </row>
    <row r="46" spans="1:2" x14ac:dyDescent="0.3">
      <c r="A46" s="10" t="s">
        <v>701</v>
      </c>
      <c r="B46">
        <v>364.25839999999994</v>
      </c>
    </row>
    <row r="47" spans="1:2" x14ac:dyDescent="0.3">
      <c r="A47" s="10" t="s">
        <v>677</v>
      </c>
      <c r="B47">
        <v>2311.7586999999999</v>
      </c>
    </row>
    <row r="48" spans="1:2" x14ac:dyDescent="0.3">
      <c r="A48" s="10" t="s">
        <v>744</v>
      </c>
      <c r="B48">
        <v>-53.169200000000004</v>
      </c>
    </row>
    <row r="49" spans="1:2" x14ac:dyDescent="0.3">
      <c r="A49" s="10" t="s">
        <v>752</v>
      </c>
      <c r="B49">
        <v>898.19450000000006</v>
      </c>
    </row>
    <row r="50" spans="1:2" x14ac:dyDescent="0.3">
      <c r="A50" s="10" t="s">
        <v>622</v>
      </c>
      <c r="B50">
        <v>56.551799999999986</v>
      </c>
    </row>
    <row r="51" spans="1:2" x14ac:dyDescent="0.3">
      <c r="A51" s="10" t="s">
        <v>654</v>
      </c>
      <c r="B51">
        <v>115.5257</v>
      </c>
    </row>
    <row r="52" spans="1:2" x14ac:dyDescent="0.3">
      <c r="A52" s="10" t="s">
        <v>747</v>
      </c>
      <c r="B52">
        <v>806.25049999999999</v>
      </c>
    </row>
    <row r="53" spans="1:2" x14ac:dyDescent="0.3">
      <c r="A53" s="10" t="s">
        <v>698</v>
      </c>
      <c r="B53">
        <v>-0.30320000000000003</v>
      </c>
    </row>
    <row r="54" spans="1:2" x14ac:dyDescent="0.3">
      <c r="A54" s="10" t="s">
        <v>662</v>
      </c>
      <c r="B54">
        <v>1999.7779000000005</v>
      </c>
    </row>
    <row r="55" spans="1:2" x14ac:dyDescent="0.3">
      <c r="A55" s="10" t="s">
        <v>618</v>
      </c>
      <c r="B55">
        <v>0</v>
      </c>
    </row>
    <row r="56" spans="1:2" x14ac:dyDescent="0.3">
      <c r="A56" s="10" t="s">
        <v>721</v>
      </c>
      <c r="B56">
        <v>-9.1946999999999992</v>
      </c>
    </row>
    <row r="57" spans="1:2" x14ac:dyDescent="0.3">
      <c r="A57" s="10" t="s">
        <v>709</v>
      </c>
      <c r="B57">
        <v>11.920500000000001</v>
      </c>
    </row>
    <row r="58" spans="1:2" x14ac:dyDescent="0.3">
      <c r="A58" s="10" t="s">
        <v>739</v>
      </c>
      <c r="B58">
        <v>5540.0127000000002</v>
      </c>
    </row>
    <row r="59" spans="1:2" x14ac:dyDescent="0.3">
      <c r="A59" s="10" t="s">
        <v>659</v>
      </c>
      <c r="B59">
        <v>44.150000000000006</v>
      </c>
    </row>
    <row r="60" spans="1:2" x14ac:dyDescent="0.3">
      <c r="A60" s="10" t="s">
        <v>710</v>
      </c>
      <c r="B60">
        <v>58.400799999999997</v>
      </c>
    </row>
    <row r="61" spans="1:2" x14ac:dyDescent="0.3">
      <c r="A61" s="10" t="s">
        <v>728</v>
      </c>
      <c r="B61">
        <v>-1525.6869999999999</v>
      </c>
    </row>
    <row r="62" spans="1:2" x14ac:dyDescent="0.3">
      <c r="A62" s="10" t="s">
        <v>743</v>
      </c>
      <c r="B62">
        <v>6199.8365000000003</v>
      </c>
    </row>
    <row r="63" spans="1:2" x14ac:dyDescent="0.3">
      <c r="A63" s="10" t="s">
        <v>688</v>
      </c>
      <c r="B63">
        <v>2.3674000000000004</v>
      </c>
    </row>
    <row r="64" spans="1:2" x14ac:dyDescent="0.3">
      <c r="A64" s="10" t="s">
        <v>663</v>
      </c>
      <c r="B64">
        <v>3.4649000000000001</v>
      </c>
    </row>
    <row r="65" spans="1:2" x14ac:dyDescent="0.3">
      <c r="A65" s="10" t="s">
        <v>683</v>
      </c>
      <c r="B65">
        <v>-3.3592</v>
      </c>
    </row>
    <row r="66" spans="1:2" x14ac:dyDescent="0.3">
      <c r="A66" s="10" t="s">
        <v>661</v>
      </c>
      <c r="B66">
        <v>0</v>
      </c>
    </row>
    <row r="67" spans="1:2" x14ac:dyDescent="0.3">
      <c r="A67" s="10" t="s">
        <v>666</v>
      </c>
      <c r="B67">
        <v>0</v>
      </c>
    </row>
    <row r="68" spans="1:2" x14ac:dyDescent="0.3">
      <c r="A68" s="10" t="s">
        <v>750</v>
      </c>
      <c r="B68">
        <v>3843.0217999999995</v>
      </c>
    </row>
    <row r="69" spans="1:2" x14ac:dyDescent="0.3">
      <c r="A69" s="10" t="s">
        <v>640</v>
      </c>
      <c r="B69">
        <v>27.6433</v>
      </c>
    </row>
    <row r="70" spans="1:2" x14ac:dyDescent="0.3">
      <c r="A70" s="10" t="s">
        <v>617</v>
      </c>
      <c r="B70">
        <v>10246.054899999999</v>
      </c>
    </row>
    <row r="71" spans="1:2" x14ac:dyDescent="0.3">
      <c r="A71" s="10" t="s">
        <v>645</v>
      </c>
      <c r="B71">
        <v>881.0868999999999</v>
      </c>
    </row>
    <row r="72" spans="1:2" x14ac:dyDescent="0.3">
      <c r="A72" s="10" t="s">
        <v>727</v>
      </c>
      <c r="B72">
        <v>-116.864</v>
      </c>
    </row>
    <row r="73" spans="1:2" x14ac:dyDescent="0.3">
      <c r="A73" s="10" t="s">
        <v>671</v>
      </c>
      <c r="B73">
        <v>379.09409999999997</v>
      </c>
    </row>
    <row r="74" spans="1:2" x14ac:dyDescent="0.3">
      <c r="A74" s="10" t="s">
        <v>660</v>
      </c>
      <c r="B74">
        <v>-147.1721</v>
      </c>
    </row>
    <row r="75" spans="1:2" x14ac:dyDescent="0.3">
      <c r="A75" s="10" t="s">
        <v>703</v>
      </c>
      <c r="B75">
        <v>429.25559999999996</v>
      </c>
    </row>
    <row r="76" spans="1:2" x14ac:dyDescent="0.3">
      <c r="A76" s="10" t="s">
        <v>699</v>
      </c>
      <c r="B76">
        <v>252.19610000000003</v>
      </c>
    </row>
    <row r="77" spans="1:2" x14ac:dyDescent="0.3">
      <c r="A77" s="10" t="s">
        <v>690</v>
      </c>
      <c r="B77">
        <v>3574.2648000000004</v>
      </c>
    </row>
    <row r="78" spans="1:2" x14ac:dyDescent="0.3">
      <c r="A78" s="10" t="s">
        <v>648</v>
      </c>
      <c r="B78">
        <v>0.77590000000000003</v>
      </c>
    </row>
    <row r="79" spans="1:2" x14ac:dyDescent="0.3">
      <c r="A79" s="10" t="s">
        <v>734</v>
      </c>
      <c r="B79">
        <v>189.79689999999999</v>
      </c>
    </row>
    <row r="80" spans="1:2" x14ac:dyDescent="0.3">
      <c r="A80" s="10" t="s">
        <v>670</v>
      </c>
      <c r="B80">
        <v>587.9351999999999</v>
      </c>
    </row>
    <row r="81" spans="1:2" x14ac:dyDescent="0.3">
      <c r="A81" s="10" t="s">
        <v>718</v>
      </c>
      <c r="B81">
        <v>2.7223000000000002</v>
      </c>
    </row>
    <row r="82" spans="1:2" x14ac:dyDescent="0.3">
      <c r="A82" s="10" t="s">
        <v>653</v>
      </c>
      <c r="B82">
        <v>6858.3462000000009</v>
      </c>
    </row>
    <row r="83" spans="1:2" x14ac:dyDescent="0.3">
      <c r="A83" s="10" t="s">
        <v>673</v>
      </c>
      <c r="B83">
        <v>18.222799999999999</v>
      </c>
    </row>
    <row r="84" spans="1:2" x14ac:dyDescent="0.3">
      <c r="A84" s="10" t="s">
        <v>665</v>
      </c>
      <c r="B84">
        <v>62.846900000000005</v>
      </c>
    </row>
    <row r="85" spans="1:2" x14ac:dyDescent="0.3">
      <c r="A85" s="10" t="s">
        <v>633</v>
      </c>
      <c r="B85">
        <v>1215.3109999999999</v>
      </c>
    </row>
    <row r="86" spans="1:2" x14ac:dyDescent="0.3">
      <c r="A86" s="10" t="s">
        <v>678</v>
      </c>
      <c r="B86">
        <v>0</v>
      </c>
    </row>
    <row r="87" spans="1:2" x14ac:dyDescent="0.3">
      <c r="A87" s="10" t="s">
        <v>647</v>
      </c>
      <c r="B87">
        <v>717.55590000000007</v>
      </c>
    </row>
    <row r="88" spans="1:2" x14ac:dyDescent="0.3">
      <c r="A88" s="10" t="s">
        <v>675</v>
      </c>
      <c r="B88">
        <v>0.30399999999999999</v>
      </c>
    </row>
    <row r="89" spans="1:2" x14ac:dyDescent="0.3">
      <c r="A89" s="10" t="s">
        <v>646</v>
      </c>
      <c r="B89">
        <v>4546.2993999999999</v>
      </c>
    </row>
    <row r="90" spans="1:2" x14ac:dyDescent="0.3">
      <c r="A90" s="10" t="s">
        <v>634</v>
      </c>
      <c r="B90">
        <v>1541.4431999999999</v>
      </c>
    </row>
    <row r="91" spans="1:2" x14ac:dyDescent="0.3">
      <c r="A91" s="10" t="s">
        <v>711</v>
      </c>
      <c r="B91">
        <v>478.19449999999995</v>
      </c>
    </row>
    <row r="92" spans="1:2" x14ac:dyDescent="0.3">
      <c r="A92" s="10" t="s">
        <v>731</v>
      </c>
      <c r="B92">
        <v>447.37679999999995</v>
      </c>
    </row>
    <row r="93" spans="1:2" x14ac:dyDescent="0.3">
      <c r="A93" s="10" t="s">
        <v>628</v>
      </c>
      <c r="B93">
        <v>0</v>
      </c>
    </row>
    <row r="94" spans="1:2" x14ac:dyDescent="0.3">
      <c r="A94" s="10" t="s">
        <v>636</v>
      </c>
      <c r="B94">
        <v>0</v>
      </c>
    </row>
    <row r="95" spans="1:2" x14ac:dyDescent="0.3">
      <c r="A95" s="10" t="s">
        <v>741</v>
      </c>
      <c r="B95">
        <v>23905.680499999995</v>
      </c>
    </row>
    <row r="96" spans="1:2" x14ac:dyDescent="0.3">
      <c r="A96" s="10" t="s">
        <v>685</v>
      </c>
      <c r="B96">
        <v>2.1406000000000001</v>
      </c>
    </row>
    <row r="97" spans="1:2" x14ac:dyDescent="0.3">
      <c r="A97" s="10" t="s">
        <v>619</v>
      </c>
      <c r="B97">
        <v>2773.4540999999999</v>
      </c>
    </row>
    <row r="98" spans="1:2" x14ac:dyDescent="0.3">
      <c r="A98" s="10" t="s">
        <v>657</v>
      </c>
      <c r="B98">
        <v>2.3182999999999998</v>
      </c>
    </row>
    <row r="99" spans="1:2" x14ac:dyDescent="0.3">
      <c r="A99" s="10" t="s">
        <v>712</v>
      </c>
      <c r="B99">
        <v>2787.5027</v>
      </c>
    </row>
    <row r="100" spans="1:2" x14ac:dyDescent="0.3">
      <c r="A100" s="10" t="s">
        <v>658</v>
      </c>
      <c r="B100">
        <v>1.9024000000000001</v>
      </c>
    </row>
    <row r="101" spans="1:2" x14ac:dyDescent="0.3">
      <c r="A101" s="10" t="s">
        <v>686</v>
      </c>
      <c r="B101">
        <v>-0.17710000000000001</v>
      </c>
    </row>
    <row r="102" spans="1:2" x14ac:dyDescent="0.3">
      <c r="A102" s="10" t="s">
        <v>652</v>
      </c>
      <c r="B102">
        <v>8392.519400000001</v>
      </c>
    </row>
    <row r="103" spans="1:2" x14ac:dyDescent="0.3">
      <c r="A103" s="10" t="s">
        <v>620</v>
      </c>
      <c r="B103">
        <v>69.132099999999994</v>
      </c>
    </row>
    <row r="104" spans="1:2" x14ac:dyDescent="0.3">
      <c r="A104" s="10" t="s">
        <v>649</v>
      </c>
      <c r="B104">
        <v>827.32390000000009</v>
      </c>
    </row>
    <row r="105" spans="1:2" x14ac:dyDescent="0.3">
      <c r="A105" s="10" t="s">
        <v>650</v>
      </c>
      <c r="B105">
        <v>0</v>
      </c>
    </row>
    <row r="106" spans="1:2" x14ac:dyDescent="0.3">
      <c r="A106" s="10" t="s">
        <v>742</v>
      </c>
      <c r="B106">
        <v>124.50389999999999</v>
      </c>
    </row>
    <row r="107" spans="1:2" x14ac:dyDescent="0.3">
      <c r="A107" s="10" t="s">
        <v>691</v>
      </c>
      <c r="B107">
        <v>0.2389</v>
      </c>
    </row>
    <row r="108" spans="1:2" x14ac:dyDescent="0.3">
      <c r="A108" s="10" t="s">
        <v>746</v>
      </c>
      <c r="B108">
        <v>0</v>
      </c>
    </row>
    <row r="109" spans="1:2" x14ac:dyDescent="0.3">
      <c r="A109" s="10" t="s">
        <v>722</v>
      </c>
      <c r="B109">
        <v>-1349.5799</v>
      </c>
    </row>
    <row r="110" spans="1:2" x14ac:dyDescent="0.3">
      <c r="A110" s="10" t="s">
        <v>679</v>
      </c>
      <c r="B110">
        <v>0</v>
      </c>
    </row>
    <row r="111" spans="1:2" x14ac:dyDescent="0.3">
      <c r="A111" s="10" t="s">
        <v>667</v>
      </c>
      <c r="B111">
        <v>61.170400000000008</v>
      </c>
    </row>
    <row r="112" spans="1:2" x14ac:dyDescent="0.3">
      <c r="A112" s="10" t="s">
        <v>754</v>
      </c>
      <c r="B112">
        <v>141.76490000000001</v>
      </c>
    </row>
    <row r="113" spans="1:2" x14ac:dyDescent="0.3">
      <c r="A113" s="10" t="s">
        <v>735</v>
      </c>
      <c r="B113">
        <v>3216.7950999999998</v>
      </c>
    </row>
    <row r="114" spans="1:2" x14ac:dyDescent="0.3">
      <c r="A114" s="10" t="s">
        <v>713</v>
      </c>
      <c r="B114">
        <v>9247.7762000000002</v>
      </c>
    </row>
    <row r="115" spans="1:2" x14ac:dyDescent="0.3">
      <c r="A115" s="10" t="s">
        <v>749</v>
      </c>
      <c r="B115">
        <v>279.14370000000002</v>
      </c>
    </row>
    <row r="116" spans="1:2" x14ac:dyDescent="0.3">
      <c r="A116" s="10" t="s">
        <v>702</v>
      </c>
      <c r="B116">
        <v>5.9284999999999997</v>
      </c>
    </row>
    <row r="117" spans="1:2" x14ac:dyDescent="0.3">
      <c r="A117" s="10" t="s">
        <v>696</v>
      </c>
      <c r="B117">
        <v>113.29300000000001</v>
      </c>
    </row>
    <row r="118" spans="1:2" x14ac:dyDescent="0.3">
      <c r="A118" s="10" t="s">
        <v>753</v>
      </c>
      <c r="B118">
        <v>0</v>
      </c>
    </row>
    <row r="119" spans="1:2" x14ac:dyDescent="0.3">
      <c r="A119" s="10" t="s">
        <v>708</v>
      </c>
      <c r="B119">
        <v>4192.6634999999997</v>
      </c>
    </row>
    <row r="120" spans="1:2" x14ac:dyDescent="0.3">
      <c r="A120" s="10" t="s">
        <v>639</v>
      </c>
      <c r="B120">
        <v>0</v>
      </c>
    </row>
    <row r="121" spans="1:2" x14ac:dyDescent="0.3">
      <c r="A121" s="10" t="s">
        <v>736</v>
      </c>
      <c r="B121">
        <v>8155.6150999999991</v>
      </c>
    </row>
    <row r="122" spans="1:2" x14ac:dyDescent="0.3">
      <c r="A122" s="10" t="s">
        <v>689</v>
      </c>
      <c r="B122">
        <v>-34.035699999999999</v>
      </c>
    </row>
    <row r="123" spans="1:2" x14ac:dyDescent="0.3">
      <c r="A123" s="10" t="s">
        <v>626</v>
      </c>
      <c r="B123">
        <v>31.3537</v>
      </c>
    </row>
    <row r="124" spans="1:2" x14ac:dyDescent="0.3">
      <c r="A124" s="10" t="s">
        <v>697</v>
      </c>
      <c r="B124">
        <v>9.7604000000000042</v>
      </c>
    </row>
    <row r="125" spans="1:2" x14ac:dyDescent="0.3">
      <c r="A125" s="10" t="s">
        <v>681</v>
      </c>
      <c r="B125">
        <v>0</v>
      </c>
    </row>
    <row r="126" spans="1:2" x14ac:dyDescent="0.3">
      <c r="A126" s="10" t="s">
        <v>700</v>
      </c>
      <c r="B126">
        <v>345.19709999999998</v>
      </c>
    </row>
    <row r="127" spans="1:2" x14ac:dyDescent="0.3">
      <c r="A127" s="10" t="s">
        <v>738</v>
      </c>
      <c r="B127">
        <v>1.2579</v>
      </c>
    </row>
    <row r="128" spans="1:2" x14ac:dyDescent="0.3">
      <c r="A128" s="10" t="s">
        <v>664</v>
      </c>
      <c r="B128">
        <v>314.18090000000001</v>
      </c>
    </row>
    <row r="129" spans="1:2" x14ac:dyDescent="0.3">
      <c r="A129" s="10" t="s">
        <v>730</v>
      </c>
      <c r="B129">
        <v>4.4342000000000024</v>
      </c>
    </row>
    <row r="130" spans="1:2" x14ac:dyDescent="0.3">
      <c r="A130" s="10" t="s">
        <v>680</v>
      </c>
      <c r="B130">
        <v>7049.8493999999992</v>
      </c>
    </row>
    <row r="131" spans="1:2" x14ac:dyDescent="0.3">
      <c r="A131" s="10" t="s">
        <v>668</v>
      </c>
      <c r="B131">
        <v>18.760100000000001</v>
      </c>
    </row>
    <row r="132" spans="1:2" x14ac:dyDescent="0.3">
      <c r="A132" s="10" t="s">
        <v>716</v>
      </c>
      <c r="B132">
        <v>-171.71680000000001</v>
      </c>
    </row>
    <row r="133" spans="1:2" x14ac:dyDescent="0.3">
      <c r="A133" s="10" t="s">
        <v>621</v>
      </c>
      <c r="B133">
        <v>0.48380000000000001</v>
      </c>
    </row>
    <row r="134" spans="1:2" x14ac:dyDescent="0.3">
      <c r="A134" s="10" t="s">
        <v>623</v>
      </c>
      <c r="B134">
        <v>426.12529999999998</v>
      </c>
    </row>
    <row r="135" spans="1:2" x14ac:dyDescent="0.3">
      <c r="A135" s="10" t="s">
        <v>723</v>
      </c>
      <c r="B135">
        <v>-76.065599999999961</v>
      </c>
    </row>
    <row r="136" spans="1:2" x14ac:dyDescent="0.3">
      <c r="A136" s="10" t="s">
        <v>625</v>
      </c>
      <c r="B136">
        <v>-1.7425999999999999</v>
      </c>
    </row>
    <row r="137" spans="1:2" x14ac:dyDescent="0.3">
      <c r="A137" s="10" t="s">
        <v>692</v>
      </c>
      <c r="B137">
        <v>32.278999999999982</v>
      </c>
    </row>
    <row r="138" spans="1:2" x14ac:dyDescent="0.3">
      <c r="A138" s="10" t="s">
        <v>694</v>
      </c>
      <c r="B138">
        <v>3243.5454</v>
      </c>
    </row>
    <row r="139" spans="1:2" x14ac:dyDescent="0.3">
      <c r="A139" s="10" t="s">
        <v>715</v>
      </c>
      <c r="B139">
        <v>0</v>
      </c>
    </row>
    <row r="140" spans="1:2" x14ac:dyDescent="0.3">
      <c r="A140" s="10" t="s">
        <v>656</v>
      </c>
      <c r="B140">
        <v>1117.7899</v>
      </c>
    </row>
    <row r="141" spans="1:2" x14ac:dyDescent="0.3">
      <c r="A141" s="10" t="s">
        <v>635</v>
      </c>
      <c r="B141">
        <v>214.09450000000001</v>
      </c>
    </row>
    <row r="142" spans="1:2" x14ac:dyDescent="0.3">
      <c r="A142" s="10" t="s">
        <v>674</v>
      </c>
      <c r="B142">
        <v>1139.5917999999999</v>
      </c>
    </row>
    <row r="143" spans="1:2" x14ac:dyDescent="0.3">
      <c r="A143" s="10" t="s">
        <v>637</v>
      </c>
      <c r="B143">
        <v>1508.1076</v>
      </c>
    </row>
    <row r="144" spans="1:2" x14ac:dyDescent="0.3">
      <c r="A144" s="10" t="s">
        <v>769</v>
      </c>
    </row>
    <row r="145" spans="1:2" x14ac:dyDescent="0.3">
      <c r="A145" s="10" t="s">
        <v>760</v>
      </c>
      <c r="B145">
        <v>235097.66189999995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3C0C-FF5F-46B2-A6FD-11584C06B382}">
  <sheetPr>
    <tabColor rgb="FF0099CC"/>
  </sheetPr>
  <dimension ref="A1"/>
  <sheetViews>
    <sheetView showGridLines="0" tabSelected="1" zoomScale="59" zoomScaleNormal="59" workbookViewId="0">
      <selection activeCell="Y45" sqref="Y45"/>
    </sheetView>
  </sheetViews>
  <sheetFormatPr defaultRowHeight="14.4" x14ac:dyDescent="0.3"/>
  <cols>
    <col min="1" max="32" width="8.88671875" style="23"/>
    <col min="33" max="33" width="9" style="23" customWidth="1"/>
    <col min="34" max="16384" width="8.8867187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Source</vt:lpstr>
      <vt:lpstr>2022 to 2023 value growthdrop</vt:lpstr>
      <vt:lpstr>Top manufacturer 2023 &amp; 2022</vt:lpstr>
      <vt:lpstr>Best-performing size</vt:lpstr>
      <vt:lpstr>Top 10-2022 to 2023 volume drop</vt:lpstr>
      <vt:lpstr>Sales by package type &amp; product</vt:lpstr>
      <vt:lpstr>Volume drop bwt 2023 to 2025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NewPC20</dc:creator>
  <cp:lastModifiedBy>shanuja saliya</cp:lastModifiedBy>
  <dcterms:created xsi:type="dcterms:W3CDTF">2023-06-30T13:31:58Z</dcterms:created>
  <dcterms:modified xsi:type="dcterms:W3CDTF">2025-11-26T09:54:26Z</dcterms:modified>
</cp:coreProperties>
</file>